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0.xml" ContentType="application/vnd.openxmlformats-officedocument.spreadsheetml.pivotTab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BU Edge\"/>
    </mc:Choice>
  </mc:AlternateContent>
  <xr:revisionPtr revIDLastSave="0" documentId="13_ncr:1_{A0162409-3CAC-4624-9132-B831FB6B6C30}" xr6:coauthVersionLast="47" xr6:coauthVersionMax="47" xr10:uidLastSave="{00000000-0000-0000-0000-000000000000}"/>
  <bookViews>
    <workbookView xWindow="-108" yWindow="-108" windowWidth="23256" windowHeight="12456" xr2:uid="{30DF33A6-9340-45D3-A44C-D2B659833EB7}"/>
  </bookViews>
  <sheets>
    <sheet name="Savings Data" sheetId="1" r:id="rId1"/>
    <sheet name="Ques 1" sheetId="5" r:id="rId2"/>
    <sheet name="Ques 2" sheetId="3" r:id="rId3"/>
    <sheet name="Ques 3" sheetId="4" r:id="rId4"/>
    <sheet name="Ques 4" sheetId="6" r:id="rId5"/>
    <sheet name="Ques 5" sheetId="7" r:id="rId6"/>
    <sheet name="Ques 6" sheetId="8" r:id="rId7"/>
    <sheet name="Ques 7" sheetId="9" r:id="rId8"/>
    <sheet name="Ques 8" sheetId="11" r:id="rId9"/>
    <sheet name="Ques 9" sheetId="12" r:id="rId10"/>
    <sheet name="Ques 10" sheetId="13" r:id="rId11"/>
  </sheets>
  <calcPr calcId="191029"/>
  <pivotCaches>
    <pivotCache cacheId="0" r:id="rId12"/>
    <pivotCache cacheId="1" r:id="rId13"/>
    <pivotCache cacheId="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2" i="1" l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3" i="1"/>
  <c r="G4" i="1"/>
  <c r="G5" i="1"/>
  <c r="G6" i="1"/>
  <c r="G7" i="1"/>
  <c r="G8" i="1"/>
  <c r="G9" i="1"/>
  <c r="G10" i="1"/>
  <c r="G2" i="1"/>
</calcChain>
</file>

<file path=xl/sharedStrings.xml><?xml version="1.0" encoding="utf-8"?>
<sst xmlns="http://schemas.openxmlformats.org/spreadsheetml/2006/main" count="67" uniqueCount="32">
  <si>
    <t>Savings</t>
  </si>
  <si>
    <t>Income</t>
  </si>
  <si>
    <t>Family Size</t>
  </si>
  <si>
    <t>Years of Education(Household Head)</t>
  </si>
  <si>
    <t>Age of Household Head</t>
  </si>
  <si>
    <t>Row Labels</t>
  </si>
  <si>
    <t>Grand Total</t>
  </si>
  <si>
    <t>Sum of Savings</t>
  </si>
  <si>
    <t>Income Brackets</t>
  </si>
  <si>
    <t>&lt;10k</t>
  </si>
  <si>
    <t>10k-20k</t>
  </si>
  <si>
    <t>20k-30k</t>
  </si>
  <si>
    <t>30k+</t>
  </si>
  <si>
    <t>Age Groups</t>
  </si>
  <si>
    <t>20-30</t>
  </si>
  <si>
    <t>30-40</t>
  </si>
  <si>
    <t>40+</t>
  </si>
  <si>
    <t>Race</t>
  </si>
  <si>
    <t>Average of Savings2</t>
  </si>
  <si>
    <t>Sum of Income</t>
  </si>
  <si>
    <t>Column Labels</t>
  </si>
  <si>
    <t>Average of Savings</t>
  </si>
  <si>
    <t>Question 10: How does the average savings differ for each age group when further divided by racial categories?</t>
  </si>
  <si>
    <t>Question 9: Which income bracket contributes the most to total savings?</t>
  </si>
  <si>
    <t>Question 8: How does savings differ across race categories when segmented by education levels?</t>
  </si>
  <si>
    <t>Question 7: What is the contribution of each family size category to the total savings?</t>
  </si>
  <si>
    <t>Question 6: What is the total income for households segmented by education levels?</t>
  </si>
  <si>
    <t>Question 5: How do the total and average savings compare between racial groups?</t>
  </si>
  <si>
    <t>Question 4: What are the average savings for different age groups of household heads?</t>
  </si>
  <si>
    <t>Question 3: How do savings differ across households with varying family sizes?</t>
  </si>
  <si>
    <t>Question 2: What is the average household savings for each education level?</t>
  </si>
  <si>
    <t>Question 1: How is the total savings distributed across different income brackets?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</si>
</sst>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9"/>
      <name val="Consolas"/>
      <family val="3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8"/>
      <name val="Segoe UI Variable Text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>
      <alignment vertical="center"/>
    </xf>
    <xf numFmtId="0" fontId="3" fillId="0" borderId="0" xfId="0" applyFont="1"/>
    <xf numFmtId="0" fontId="2" fillId="0" borderId="0" xfId="0" applyFont="1"/>
    <xf numFmtId="0" fontId="4" fillId="3" borderId="0" xfId="0" applyFont="1" applyFill="1"/>
    <xf numFmtId="0" fontId="1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[Computer Class Project Alamin Vba 111.xlsm]Ques 1!PivotTable4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'Ques 1'!$B$3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001F-4642-8567-026E38B6909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1F-4642-8567-026E38B6909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01F-4642-8567-026E38B6909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01F-4642-8567-026E38B690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'Ques 1'!$A$4:$A$8</c:f>
              <c:strCache>
                <c:ptCount val="4"/>
                <c:pt idx="0">
                  <c:v>&lt;10k</c:v>
                </c:pt>
                <c:pt idx="1">
                  <c:v>10k-20k</c:v>
                </c:pt>
                <c:pt idx="2">
                  <c:v>20k-30k</c:v>
                </c:pt>
                <c:pt idx="3">
                  <c:v>30k+</c:v>
                </c:pt>
              </c:strCache>
            </c:strRef>
          </c:cat>
          <c:val>
            <c:numRef>
              <c:f>'Ques 1'!$B$4:$B$8</c:f>
              <c:numCache>
                <c:formatCode>General</c:formatCode>
                <c:ptCount val="4"/>
                <c:pt idx="0">
                  <c:v>67430</c:v>
                </c:pt>
                <c:pt idx="1">
                  <c:v>73828</c:v>
                </c:pt>
                <c:pt idx="2">
                  <c:v>410</c:v>
                </c:pt>
                <c:pt idx="3">
                  <c:v>16583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1F-4642-8567-026E38B69097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[Computer Class Project Alamin Vba 111.xlsm]Ques 2!PivotTable2</c:name>
    <c:fmtId val="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'Ques 2'!$B$3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'Ques 2'!$A$4:$A$22</c:f>
              <c:strCache>
                <c:ptCount val="1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</c:strCache>
            </c:strRef>
          </c:cat>
          <c:val>
            <c:numRef>
              <c:f>'Ques 2'!$B$4:$B$22</c:f>
              <c:numCache>
                <c:formatCode>General</c:formatCode>
                <c:ptCount val="18"/>
                <c:pt idx="0">
                  <c:v>30</c:v>
                </c:pt>
                <c:pt idx="1">
                  <c:v>1274</c:v>
                </c:pt>
                <c:pt idx="2">
                  <c:v>0</c:v>
                </c:pt>
                <c:pt idx="3">
                  <c:v>50</c:v>
                </c:pt>
                <c:pt idx="4">
                  <c:v>5786</c:v>
                </c:pt>
                <c:pt idx="5">
                  <c:v>10226</c:v>
                </c:pt>
                <c:pt idx="6">
                  <c:v>12401</c:v>
                </c:pt>
                <c:pt idx="7">
                  <c:v>9603</c:v>
                </c:pt>
                <c:pt idx="8">
                  <c:v>8250</c:v>
                </c:pt>
                <c:pt idx="9">
                  <c:v>41813</c:v>
                </c:pt>
                <c:pt idx="10">
                  <c:v>1406</c:v>
                </c:pt>
                <c:pt idx="11">
                  <c:v>3869</c:v>
                </c:pt>
                <c:pt idx="12">
                  <c:v>-1150</c:v>
                </c:pt>
                <c:pt idx="13">
                  <c:v>23397</c:v>
                </c:pt>
                <c:pt idx="14">
                  <c:v>11341</c:v>
                </c:pt>
                <c:pt idx="15">
                  <c:v>26880</c:v>
                </c:pt>
                <c:pt idx="16">
                  <c:v>388</c:v>
                </c:pt>
                <c:pt idx="17">
                  <c:v>2687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6-4951-9119-D63B2E506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2360959"/>
        <c:axId val="1142348895"/>
      </c:lineChart>
      <c:catAx>
        <c:axId val="1142360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348895"/>
        <c:crosses val="autoZero"/>
        <c:auto val="1"/>
        <c:lblAlgn val="ctr"/>
        <c:lblOffset val="100"/>
        <c:noMultiLvlLbl val="0"/>
      </c:catAx>
      <c:valAx>
        <c:axId val="1142348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360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[Computer Class Project Alamin Vba 111.xlsm]Ques 3!PivotTable3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'Ques 3'!$B$3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cat>
            <c:strRef>
              <c:f>'Ques 3'!$A$4:$A$13</c:f>
              <c:strCach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strCache>
            </c:strRef>
          </c:cat>
          <c:val>
            <c:numRef>
              <c:f>'Ques 3'!$B$4:$B$13</c:f>
              <c:numCache>
                <c:formatCode>General</c:formatCode>
                <c:ptCount val="9"/>
                <c:pt idx="0">
                  <c:v>16018</c:v>
                </c:pt>
                <c:pt idx="1">
                  <c:v>21144</c:v>
                </c:pt>
                <c:pt idx="2">
                  <c:v>63276</c:v>
                </c:pt>
                <c:pt idx="3">
                  <c:v>16022</c:v>
                </c:pt>
                <c:pt idx="4">
                  <c:v>36622</c:v>
                </c:pt>
                <c:pt idx="5">
                  <c:v>1243</c:v>
                </c:pt>
                <c:pt idx="6">
                  <c:v>-578</c:v>
                </c:pt>
                <c:pt idx="7">
                  <c:v>3500</c:v>
                </c:pt>
                <c:pt idx="8">
                  <c:v>1004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94-40A9-AC3B-919151C5F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985913311"/>
        <c:axId val="985929535"/>
      </c:barChart>
      <c:catAx>
        <c:axId val="985913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929535"/>
        <c:crosses val="autoZero"/>
        <c:auto val="1"/>
        <c:lblAlgn val="ctr"/>
        <c:lblOffset val="100"/>
        <c:noMultiLvlLbl val="0"/>
      </c:catAx>
      <c:valAx>
        <c:axId val="985929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913311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[Computer Class Project Alamin Vba 111.xlsm]Ques 4!PivotTable5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'Ques 4'!$B$3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982-4DCE-867E-9FD711C597A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982-4DCE-867E-9FD711C597A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982-4DCE-867E-9FD711C597A9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'Ques 4'!$A$4:$A$7</c:f>
              <c:strCache>
                <c:ptCount val="3"/>
                <c:pt idx="0">
                  <c:v>20-30</c:v>
                </c:pt>
                <c:pt idx="1">
                  <c:v>30-40</c:v>
                </c:pt>
                <c:pt idx="2">
                  <c:v>40+</c:v>
                </c:pt>
              </c:strCache>
            </c:strRef>
          </c:cat>
          <c:val>
            <c:numRef>
              <c:f>'Ques 4'!$B$4:$B$7</c:f>
              <c:numCache>
                <c:formatCode>General</c:formatCode>
                <c:ptCount val="3"/>
                <c:pt idx="0">
                  <c:v>20251</c:v>
                </c:pt>
                <c:pt idx="1">
                  <c:v>74507</c:v>
                </c:pt>
                <c:pt idx="2">
                  <c:v>63493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41-44B2-8B8E-E19D98D7708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[Computer Class Project Alamin Vba 111.xlsm]Ques 5!PivotTable6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'Ques 5'!$B$3</c:f>
              <c:strCache>
                <c:ptCount val="1"/>
                <c:pt idx="0">
                  <c:v>Sum of Savings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'Ques 5'!$A$4:$A$6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'Ques 5'!$B$4:$B$6</c:f>
              <c:numCache>
                <c:formatCode>General</c:formatCode>
                <c:ptCount val="2"/>
                <c:pt idx="0">
                  <c:v>149463</c:v>
                </c:pt>
                <c:pt idx="1">
                  <c:v>8788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6-40AE-84FA-D4A9EBCE5EA6}"/>
            </c:ext>
          </c:extLst>
        </c:ser>
        <c:ser>
          <c:idx val="1"/>
          <c:order val="1"/>
          <c:tx>
            <c:strRef>
              <c:f>'Ques 5'!$C$3</c:f>
              <c:strCache>
                <c:ptCount val="1"/>
                <c:pt idx="0">
                  <c:v>Average of Savings2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'Ques 5'!$A$4:$A$6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'Ques 5'!$C$4:$C$6</c:f>
              <c:numCache>
                <c:formatCode>General</c:formatCode>
                <c:ptCount val="2"/>
                <c:pt idx="0">
                  <c:v>1607.1290322580646</c:v>
                </c:pt>
                <c:pt idx="1">
                  <c:v>1255.4285714285713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76-40AE-84FA-D4A9EBC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42348479"/>
        <c:axId val="1142351807"/>
      </c:barChart>
      <c:catAx>
        <c:axId val="11423484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351807"/>
        <c:crosses val="autoZero"/>
        <c:auto val="1"/>
        <c:lblAlgn val="ctr"/>
        <c:lblOffset val="100"/>
        <c:noMultiLvlLbl val="0"/>
      </c:catAx>
      <c:valAx>
        <c:axId val="1142351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3484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[Computer Class Project Alamin Vba 111.xlsm]Ques 6!PivotTable7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'Ques 6'!$B$3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 6'!$A$4:$A$22</c:f>
              <c:strCache>
                <c:ptCount val="1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</c:strCache>
            </c:strRef>
          </c:cat>
          <c:val>
            <c:numRef>
              <c:f>'Ques 6'!$B$4:$B$22</c:f>
              <c:numCache>
                <c:formatCode>General</c:formatCode>
                <c:ptCount val="18"/>
                <c:pt idx="0">
                  <c:v>1920</c:v>
                </c:pt>
                <c:pt idx="1">
                  <c:v>10425</c:v>
                </c:pt>
                <c:pt idx="2">
                  <c:v>750</c:v>
                </c:pt>
                <c:pt idx="3">
                  <c:v>2340</c:v>
                </c:pt>
                <c:pt idx="4">
                  <c:v>32216</c:v>
                </c:pt>
                <c:pt idx="5">
                  <c:v>78252</c:v>
                </c:pt>
                <c:pt idx="6">
                  <c:v>93559</c:v>
                </c:pt>
                <c:pt idx="7">
                  <c:v>69290</c:v>
                </c:pt>
                <c:pt idx="8">
                  <c:v>43281</c:v>
                </c:pt>
                <c:pt idx="9">
                  <c:v>299773</c:v>
                </c:pt>
                <c:pt idx="10">
                  <c:v>23278</c:v>
                </c:pt>
                <c:pt idx="11">
                  <c:v>34048</c:v>
                </c:pt>
                <c:pt idx="12">
                  <c:v>14660</c:v>
                </c:pt>
                <c:pt idx="13">
                  <c:v>150764</c:v>
                </c:pt>
                <c:pt idx="14">
                  <c:v>92604</c:v>
                </c:pt>
                <c:pt idx="15">
                  <c:v>22800</c:v>
                </c:pt>
                <c:pt idx="16">
                  <c:v>11841</c:v>
                </c:pt>
                <c:pt idx="17">
                  <c:v>12323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91-4E7C-9D6C-5380687D3ED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42369695"/>
        <c:axId val="1142378015"/>
      </c:lineChart>
      <c:catAx>
        <c:axId val="114236969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378015"/>
        <c:crosses val="autoZero"/>
        <c:auto val="1"/>
        <c:lblAlgn val="ctr"/>
        <c:lblOffset val="100"/>
        <c:noMultiLvlLbl val="0"/>
      </c:catAx>
      <c:valAx>
        <c:axId val="114237801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3696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[Computer Class Project Alamin Vba 111.xlsm]Ques 7!PivotTable8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'Ques 7'!$B$3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 7'!$A$4:$A$13</c:f>
              <c:strCach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strCache>
            </c:strRef>
          </c:cat>
          <c:val>
            <c:numRef>
              <c:f>'Ques 7'!$B$4:$B$13</c:f>
              <c:numCache>
                <c:formatCode>General</c:formatCode>
                <c:ptCount val="9"/>
                <c:pt idx="0">
                  <c:v>16018</c:v>
                </c:pt>
                <c:pt idx="1">
                  <c:v>21144</c:v>
                </c:pt>
                <c:pt idx="2">
                  <c:v>63276</c:v>
                </c:pt>
                <c:pt idx="3">
                  <c:v>16022</c:v>
                </c:pt>
                <c:pt idx="4">
                  <c:v>36622</c:v>
                </c:pt>
                <c:pt idx="5">
                  <c:v>1243</c:v>
                </c:pt>
                <c:pt idx="6">
                  <c:v>-578</c:v>
                </c:pt>
                <c:pt idx="7">
                  <c:v>3500</c:v>
                </c:pt>
                <c:pt idx="8">
                  <c:v>1004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F5-4740-8284-F685D1EE702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38175183"/>
        <c:axId val="1138153967"/>
      </c:lineChart>
      <c:catAx>
        <c:axId val="1138175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153967"/>
        <c:crosses val="autoZero"/>
        <c:auto val="1"/>
        <c:lblAlgn val="ctr"/>
        <c:lblOffset val="100"/>
        <c:noMultiLvlLbl val="0"/>
      </c:catAx>
      <c:valAx>
        <c:axId val="113815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175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[Computer Class Project Alamin Vba 111.xlsm]Ques 8!PivotTable10</c:name>
    <c:fmtId val="0"/>
  </c:pivotSource>
  <c:chart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'Ques 8'!$B$3:$B$4</c:f>
              <c:strCache>
                <c:ptCount val="1"/>
                <c:pt idx="0">
                  <c:v>2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 8'!$A$5:$A$7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'Ques 8'!$B$5:$B$7</c:f>
              <c:numCache>
                <c:formatCode>General</c:formatCode>
                <c:ptCount val="2"/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D5-484B-917C-2298EF2B6E9C}"/>
            </c:ext>
          </c:extLst>
        </c:ser>
        <c:ser>
          <c:idx val="1"/>
          <c:order val="1"/>
          <c:tx>
            <c:strRef>
              <c:f>'Ques 8'!$C$3:$C$4</c:f>
              <c:strCache>
                <c:ptCount val="1"/>
                <c:pt idx="0">
                  <c:v>3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 8'!$A$5:$A$7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'Ques 8'!$C$5:$C$7</c:f>
              <c:numCache>
                <c:formatCode>General</c:formatCode>
                <c:ptCount val="2"/>
                <c:pt idx="0">
                  <c:v>1274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D5-484B-917C-2298EF2B6E9C}"/>
            </c:ext>
          </c:extLst>
        </c:ser>
        <c:ser>
          <c:idx val="2"/>
          <c:order val="2"/>
          <c:tx>
            <c:strRef>
              <c:f>'Ques 8'!$D$3:$D$4</c:f>
              <c:strCache>
                <c:ptCount val="1"/>
                <c:pt idx="0">
                  <c:v>4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 8'!$A$5:$A$7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'Ques 8'!$D$5:$D$7</c:f>
              <c:numCache>
                <c:formatCode>General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D5-484B-917C-2298EF2B6E9C}"/>
            </c:ext>
          </c:extLst>
        </c:ser>
        <c:ser>
          <c:idx val="3"/>
          <c:order val="3"/>
          <c:tx>
            <c:strRef>
              <c:f>'Ques 8'!$E$3:$E$4</c:f>
              <c:strCache>
                <c:ptCount val="1"/>
                <c:pt idx="0">
                  <c:v>6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 8'!$A$5:$A$7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'Ques 8'!$E$5:$E$7</c:f>
              <c:numCache>
                <c:formatCode>General</c:formatCode>
                <c:ptCount val="2"/>
                <c:pt idx="1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D5-484B-917C-2298EF2B6E9C}"/>
            </c:ext>
          </c:extLst>
        </c:ser>
        <c:ser>
          <c:idx val="4"/>
          <c:order val="4"/>
          <c:tx>
            <c:strRef>
              <c:f>'Ques 8'!$F$3:$F$4</c:f>
              <c:strCache>
                <c:ptCount val="1"/>
                <c:pt idx="0">
                  <c:v>7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 8'!$A$5:$A$7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'Ques 8'!$F$5:$F$7</c:f>
              <c:numCache>
                <c:formatCode>General</c:formatCode>
                <c:ptCount val="2"/>
                <c:pt idx="0">
                  <c:v>1446.5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D5-484B-917C-2298EF2B6E9C}"/>
            </c:ext>
          </c:extLst>
        </c:ser>
        <c:ser>
          <c:idx val="5"/>
          <c:order val="5"/>
          <c:tx>
            <c:strRef>
              <c:f>'Ques 8'!$G$3:$G$4</c:f>
              <c:strCache>
                <c:ptCount val="1"/>
                <c:pt idx="0">
                  <c:v>8</c:v>
                </c:pt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 8'!$A$5:$A$7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'Ques 8'!$G$5:$G$7</c:f>
              <c:numCache>
                <c:formatCode>General</c:formatCode>
                <c:ptCount val="2"/>
                <c:pt idx="0">
                  <c:v>1022.6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D5-484B-917C-2298EF2B6E9C}"/>
            </c:ext>
          </c:extLst>
        </c:ser>
        <c:ser>
          <c:idx val="6"/>
          <c:order val="6"/>
          <c:tx>
            <c:strRef>
              <c:f>'Ques 8'!$H$3:$H$4</c:f>
              <c:strCache>
                <c:ptCount val="1"/>
                <c:pt idx="0">
                  <c:v>9</c:v>
                </c:pt>
              </c:strCache>
            </c:strRef>
          </c:tx>
          <c:spPr>
            <a:noFill/>
            <a:ln w="9525" cap="flat" cmpd="sng" algn="ctr">
              <a:solidFill>
                <a:schemeClr val="accent1">
                  <a:lumMod val="60000"/>
                </a:schemeClr>
              </a:solidFill>
              <a:miter lim="800000"/>
            </a:ln>
            <a:effectLst>
              <a:glow rad="63500">
                <a:schemeClr val="accent1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 8'!$A$5:$A$7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'Ques 8'!$H$5:$H$7</c:f>
              <c:numCache>
                <c:formatCode>General</c:formatCode>
                <c:ptCount val="2"/>
                <c:pt idx="0">
                  <c:v>841.7</c:v>
                </c:pt>
                <c:pt idx="1">
                  <c:v>3984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D5-484B-917C-2298EF2B6E9C}"/>
            </c:ext>
          </c:extLst>
        </c:ser>
        <c:ser>
          <c:idx val="7"/>
          <c:order val="7"/>
          <c:tx>
            <c:strRef>
              <c:f>'Ques 8'!$I$3:$I$4</c:f>
              <c:strCache>
                <c:ptCount val="1"/>
                <c:pt idx="0">
                  <c:v>10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60000"/>
                </a:schemeClr>
              </a:solidFill>
              <a:miter lim="800000"/>
            </a:ln>
            <a:effectLst>
              <a:glow rad="63500">
                <a:schemeClr val="accent2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 8'!$A$5:$A$7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'Ques 8'!$I$5:$I$7</c:f>
              <c:numCache>
                <c:formatCode>General</c:formatCode>
                <c:ptCount val="2"/>
                <c:pt idx="0">
                  <c:v>812.28571428571433</c:v>
                </c:pt>
                <c:pt idx="1">
                  <c:v>1958.5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D5-484B-917C-2298EF2B6E9C}"/>
            </c:ext>
          </c:extLst>
        </c:ser>
        <c:ser>
          <c:idx val="8"/>
          <c:order val="8"/>
          <c:tx>
            <c:strRef>
              <c:f>'Ques 8'!$J$3:$J$4</c:f>
              <c:strCache>
                <c:ptCount val="1"/>
                <c:pt idx="0">
                  <c:v>11</c:v>
                </c:pt>
              </c:strCache>
            </c:strRef>
          </c:tx>
          <c:spPr>
            <a:noFill/>
            <a:ln w="9525" cap="flat" cmpd="sng" algn="ctr">
              <a:solidFill>
                <a:schemeClr val="accent3">
                  <a:lumMod val="60000"/>
                </a:schemeClr>
              </a:solidFill>
              <a:miter lim="800000"/>
            </a:ln>
            <a:effectLst>
              <a:glow rad="63500">
                <a:schemeClr val="accent3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 8'!$A$5:$A$7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'Ques 8'!$J$5:$J$7</c:f>
              <c:numCache>
                <c:formatCode>General</c:formatCode>
                <c:ptCount val="2"/>
                <c:pt idx="0">
                  <c:v>2849.3333333333335</c:v>
                </c:pt>
                <c:pt idx="1">
                  <c:v>-298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D5-484B-917C-2298EF2B6E9C}"/>
            </c:ext>
          </c:extLst>
        </c:ser>
        <c:ser>
          <c:idx val="9"/>
          <c:order val="9"/>
          <c:tx>
            <c:strRef>
              <c:f>'Ques 8'!$K$3:$K$4</c:f>
              <c:strCache>
                <c:ptCount val="1"/>
                <c:pt idx="0">
                  <c:v>12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60000"/>
                </a:schemeClr>
              </a:solidFill>
              <a:miter lim="800000"/>
            </a:ln>
            <a:effectLst>
              <a:glow rad="63500">
                <a:schemeClr val="accent4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 8'!$A$5:$A$7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'Ques 8'!$K$5:$K$7</c:f>
              <c:numCache>
                <c:formatCode>General</c:formatCode>
                <c:ptCount val="2"/>
                <c:pt idx="0">
                  <c:v>1313.1612903225807</c:v>
                </c:pt>
                <c:pt idx="1">
                  <c:v>1105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D5-484B-917C-2298EF2B6E9C}"/>
            </c:ext>
          </c:extLst>
        </c:ser>
        <c:ser>
          <c:idx val="10"/>
          <c:order val="10"/>
          <c:tx>
            <c:strRef>
              <c:f>'Ques 8'!$L$3:$L$4</c:f>
              <c:strCache>
                <c:ptCount val="1"/>
                <c:pt idx="0">
                  <c:v>13</c:v>
                </c:pt>
              </c:strCache>
            </c:strRef>
          </c:tx>
          <c:spPr>
            <a:noFill/>
            <a:ln w="9525" cap="flat" cmpd="sng" algn="ctr">
              <a:solidFill>
                <a:schemeClr val="accent5">
                  <a:lumMod val="60000"/>
                </a:schemeClr>
              </a:solidFill>
              <a:miter lim="800000"/>
            </a:ln>
            <a:effectLst>
              <a:glow rad="63500">
                <a:schemeClr val="accent5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 8'!$A$5:$A$7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'Ques 8'!$L$5:$L$7</c:f>
              <c:numCache>
                <c:formatCode>General</c:formatCode>
                <c:ptCount val="2"/>
                <c:pt idx="0">
                  <c:v>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D5-484B-917C-2298EF2B6E9C}"/>
            </c:ext>
          </c:extLst>
        </c:ser>
        <c:ser>
          <c:idx val="11"/>
          <c:order val="11"/>
          <c:tx>
            <c:strRef>
              <c:f>'Ques 8'!$M$3:$M$4</c:f>
              <c:strCache>
                <c:ptCount val="1"/>
                <c:pt idx="0">
                  <c:v>14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60000"/>
                </a:schemeClr>
              </a:solidFill>
              <a:miter lim="800000"/>
            </a:ln>
            <a:effectLst>
              <a:glow rad="63500">
                <a:schemeClr val="accent6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 8'!$A$5:$A$7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'Ques 8'!$M$5:$M$7</c:f>
              <c:numCache>
                <c:formatCode>General</c:formatCode>
                <c:ptCount val="2"/>
                <c:pt idx="0">
                  <c:v>967.25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D5-484B-917C-2298EF2B6E9C}"/>
            </c:ext>
          </c:extLst>
        </c:ser>
        <c:ser>
          <c:idx val="12"/>
          <c:order val="12"/>
          <c:tx>
            <c:strRef>
              <c:f>'Ques 8'!$N$3:$N$4</c:f>
              <c:strCache>
                <c:ptCount val="1"/>
                <c:pt idx="0">
                  <c:v>15</c:v>
                </c:pt>
              </c:strCache>
            </c:strRef>
          </c:tx>
          <c:spPr>
            <a:noFill/>
            <a:ln w="9525" cap="flat" cmpd="sng" algn="ctr">
              <a:solidFill>
                <a:schemeClr val="accent1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1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 8'!$A$5:$A$7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'Ques 8'!$N$5:$N$7</c:f>
              <c:numCache>
                <c:formatCode>General</c:formatCode>
                <c:ptCount val="2"/>
                <c:pt idx="0">
                  <c:v>-1150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D5-484B-917C-2298EF2B6E9C}"/>
            </c:ext>
          </c:extLst>
        </c:ser>
        <c:ser>
          <c:idx val="13"/>
          <c:order val="13"/>
          <c:tx>
            <c:strRef>
              <c:f>'Ques 8'!$O$3:$O$4</c:f>
              <c:strCache>
                <c:ptCount val="1"/>
                <c:pt idx="0">
                  <c:v>16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2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 8'!$A$5:$A$7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'Ques 8'!$O$5:$O$7</c:f>
              <c:numCache>
                <c:formatCode>General</c:formatCode>
                <c:ptCount val="2"/>
                <c:pt idx="0">
                  <c:v>2599.6666666666665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D5-484B-917C-2298EF2B6E9C}"/>
            </c:ext>
          </c:extLst>
        </c:ser>
        <c:ser>
          <c:idx val="14"/>
          <c:order val="14"/>
          <c:tx>
            <c:strRef>
              <c:f>'Ques 8'!$P$3:$P$4</c:f>
              <c:strCache>
                <c:ptCount val="1"/>
                <c:pt idx="0">
                  <c:v>17</c:v>
                </c:pt>
              </c:strCache>
            </c:strRef>
          </c:tx>
          <c:spPr>
            <a:noFill/>
            <a:ln w="9525" cap="flat" cmpd="sng" algn="ctr">
              <a:solidFill>
                <a:schemeClr val="accent3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3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 8'!$A$5:$A$7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'Ques 8'!$P$5:$P$7</c:f>
              <c:numCache>
                <c:formatCode>General</c:formatCode>
                <c:ptCount val="2"/>
                <c:pt idx="0">
                  <c:v>1890.1666666666667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D5-484B-917C-2298EF2B6E9C}"/>
            </c:ext>
          </c:extLst>
        </c:ser>
        <c:ser>
          <c:idx val="15"/>
          <c:order val="15"/>
          <c:tx>
            <c:strRef>
              <c:f>'Ques 8'!$Q$3:$Q$4</c:f>
              <c:strCache>
                <c:ptCount val="1"/>
                <c:pt idx="0">
                  <c:v>18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4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 8'!$A$5:$A$7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'Ques 8'!$Q$5:$Q$7</c:f>
              <c:numCache>
                <c:formatCode>General</c:formatCode>
                <c:ptCount val="2"/>
                <c:pt idx="0">
                  <c:v>13440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D5-484B-917C-2298EF2B6E9C}"/>
            </c:ext>
          </c:extLst>
        </c:ser>
        <c:ser>
          <c:idx val="16"/>
          <c:order val="16"/>
          <c:tx>
            <c:strRef>
              <c:f>'Ques 8'!$R$3:$R$4</c:f>
              <c:strCache>
                <c:ptCount val="1"/>
                <c:pt idx="0">
                  <c:v>19</c:v>
                </c:pt>
              </c:strCache>
            </c:strRef>
          </c:tx>
          <c:spPr>
            <a:noFill/>
            <a:ln w="9525" cap="flat" cmpd="sng" algn="ctr">
              <a:solidFill>
                <a:schemeClr val="accent5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5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 8'!$A$5:$A$7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'Ques 8'!$R$5:$R$7</c:f>
              <c:numCache>
                <c:formatCode>General</c:formatCode>
                <c:ptCount val="2"/>
                <c:pt idx="0">
                  <c:v>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D5-484B-917C-2298EF2B6E9C}"/>
            </c:ext>
          </c:extLst>
        </c:ser>
        <c:ser>
          <c:idx val="17"/>
          <c:order val="17"/>
          <c:tx>
            <c:strRef>
              <c:f>'Ques 8'!$S$3:$S$4</c:f>
              <c:strCache>
                <c:ptCount val="1"/>
                <c:pt idx="0">
                  <c:v>20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6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 8'!$A$5:$A$7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'Ques 8'!$S$5:$S$7</c:f>
              <c:numCache>
                <c:formatCode>General</c:formatCode>
                <c:ptCount val="2"/>
                <c:pt idx="0">
                  <c:v>2687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D5-484B-917C-2298EF2B6E9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131318031"/>
        <c:axId val="1131309295"/>
      </c:barChart>
      <c:catAx>
        <c:axId val="113131803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309295"/>
        <c:crosses val="autoZero"/>
        <c:auto val="1"/>
        <c:lblAlgn val="ctr"/>
        <c:lblOffset val="100"/>
        <c:noMultiLvlLbl val="0"/>
      </c:catAx>
      <c:valAx>
        <c:axId val="113130929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318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[Computer Class Project Alamin Vba 111.xlsm]Ques 9!PivotTable11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'Ques 9'!$B$3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820-4E2E-8C65-2EF07A886EF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820-4E2E-8C65-2EF07A886EF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820-4E2E-8C65-2EF07A886EF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820-4E2E-8C65-2EF07A886EF9}"/>
              </c:ext>
            </c:extLst>
          </c:dPt>
          <c:cat>
            <c:strRef>
              <c:f>'Ques 9'!$A$4:$A$8</c:f>
              <c:strCache>
                <c:ptCount val="4"/>
                <c:pt idx="0">
                  <c:v>20k-30k</c:v>
                </c:pt>
                <c:pt idx="1">
                  <c:v>30k+</c:v>
                </c:pt>
                <c:pt idx="2">
                  <c:v>&lt;10k</c:v>
                </c:pt>
                <c:pt idx="3">
                  <c:v>10k-20k</c:v>
                </c:pt>
              </c:strCache>
            </c:strRef>
          </c:cat>
          <c:val>
            <c:numRef>
              <c:f>'Ques 9'!$B$4:$B$8</c:f>
              <c:numCache>
                <c:formatCode>General</c:formatCode>
                <c:ptCount val="4"/>
                <c:pt idx="0">
                  <c:v>410</c:v>
                </c:pt>
                <c:pt idx="1">
                  <c:v>16583</c:v>
                </c:pt>
                <c:pt idx="2">
                  <c:v>67430</c:v>
                </c:pt>
                <c:pt idx="3">
                  <c:v>73828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E-4B66-A2EE-DB6F3FCCF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[Computer Class Project Alamin Vba 111.xlsm]Ques 10!PivotTable12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'Ques 10'!$B$3:$B$4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'Ques 10'!$A$5:$A$8</c:f>
              <c:strCache>
                <c:ptCount val="3"/>
                <c:pt idx="0">
                  <c:v>20-30</c:v>
                </c:pt>
                <c:pt idx="1">
                  <c:v>30-40</c:v>
                </c:pt>
                <c:pt idx="2">
                  <c:v>40+</c:v>
                </c:pt>
              </c:strCache>
            </c:strRef>
          </c:cat>
          <c:val>
            <c:numRef>
              <c:f>'Ques 10'!$B$5:$B$8</c:f>
              <c:numCache>
                <c:formatCode>General</c:formatCode>
                <c:ptCount val="3"/>
                <c:pt idx="0">
                  <c:v>1472.7692307692307</c:v>
                </c:pt>
                <c:pt idx="1">
                  <c:v>1647.8604651162791</c:v>
                </c:pt>
                <c:pt idx="2">
                  <c:v>1607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BF-42EC-8B83-DC5A7B88D223}"/>
            </c:ext>
          </c:extLst>
        </c:ser>
        <c:ser>
          <c:idx val="1"/>
          <c:order val="1"/>
          <c:tx>
            <c:strRef>
              <c:f>'Ques 10'!$C$3:$C$4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'Ques 10'!$A$5:$A$8</c:f>
              <c:strCache>
                <c:ptCount val="3"/>
                <c:pt idx="0">
                  <c:v>20-30</c:v>
                </c:pt>
                <c:pt idx="1">
                  <c:v>30-40</c:v>
                </c:pt>
                <c:pt idx="2">
                  <c:v>40+</c:v>
                </c:pt>
              </c:strCache>
            </c:strRef>
          </c:cat>
          <c:val>
            <c:numRef>
              <c:f>'Ques 10'!$C$5:$C$8</c:f>
              <c:numCache>
                <c:formatCode>General</c:formatCode>
                <c:ptCount val="3"/>
                <c:pt idx="0">
                  <c:v>1105</c:v>
                </c:pt>
                <c:pt idx="1">
                  <c:v>912.25</c:v>
                </c:pt>
                <c:pt idx="2">
                  <c:v>2017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BF-42EC-8B83-DC5A7B88D22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980779695"/>
        <c:axId val="980766799"/>
      </c:barChart>
      <c:catAx>
        <c:axId val="980779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766799"/>
        <c:crosses val="autoZero"/>
        <c:auto val="1"/>
        <c:lblAlgn val="ctr"/>
        <c:lblOffset val="100"/>
        <c:noMultiLvlLbl val="0"/>
      </c:catAx>
      <c:valAx>
        <c:axId val="98076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7796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5</xdr:row>
          <xdr:rowOff>38100</xdr:rowOff>
        </xdr:from>
        <xdr:to>
          <xdr:col>12</xdr:col>
          <xdr:colOff>266700</xdr:colOff>
          <xdr:row>12</xdr:row>
          <xdr:rowOff>15240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Data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99060</xdr:colOff>
      <xdr:row>6</xdr:row>
      <xdr:rowOff>41910</xdr:rowOff>
    </xdr:from>
    <xdr:to>
      <xdr:col>6</xdr:col>
      <xdr:colOff>152400</xdr:colOff>
      <xdr:row>21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99060</xdr:colOff>
      <xdr:row>6</xdr:row>
      <xdr:rowOff>41910</xdr:rowOff>
    </xdr:from>
    <xdr:to>
      <xdr:col>6</xdr:col>
      <xdr:colOff>548640</xdr:colOff>
      <xdr:row>21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99060</xdr:colOff>
      <xdr:row>6</xdr:row>
      <xdr:rowOff>41910</xdr:rowOff>
    </xdr:from>
    <xdr:to>
      <xdr:col>6</xdr:col>
      <xdr:colOff>449580</xdr:colOff>
      <xdr:row>21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99060</xdr:colOff>
      <xdr:row>6</xdr:row>
      <xdr:rowOff>41910</xdr:rowOff>
    </xdr:from>
    <xdr:to>
      <xdr:col>4</xdr:col>
      <xdr:colOff>4671060</xdr:colOff>
      <xdr:row>21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5</xdr:row>
      <xdr:rowOff>179070</xdr:rowOff>
    </xdr:from>
    <xdr:to>
      <xdr:col>5</xdr:col>
      <xdr:colOff>4686300</xdr:colOff>
      <xdr:row>20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</xdr:colOff>
      <xdr:row>3</xdr:row>
      <xdr:rowOff>179070</xdr:rowOff>
    </xdr:from>
    <xdr:to>
      <xdr:col>9</xdr:col>
      <xdr:colOff>7620</xdr:colOff>
      <xdr:row>25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4</xdr:row>
      <xdr:rowOff>156210</xdr:rowOff>
    </xdr:from>
    <xdr:to>
      <xdr:col>4</xdr:col>
      <xdr:colOff>4876800</xdr:colOff>
      <xdr:row>19</xdr:row>
      <xdr:rowOff>156210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9292</xdr:colOff>
      <xdr:row>10</xdr:row>
      <xdr:rowOff>184923</xdr:rowOff>
    </xdr:from>
    <xdr:to>
      <xdr:col>21</xdr:col>
      <xdr:colOff>213732</xdr:colOff>
      <xdr:row>32</xdr:row>
      <xdr:rowOff>18585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518160</xdr:colOff>
      <xdr:row>4</xdr:row>
      <xdr:rowOff>15240</xdr:rowOff>
    </xdr:from>
    <xdr:to>
      <xdr:col>7</xdr:col>
      <xdr:colOff>15240</xdr:colOff>
      <xdr:row>22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</xdr:colOff>
      <xdr:row>3</xdr:row>
      <xdr:rowOff>171450</xdr:rowOff>
    </xdr:from>
    <xdr:to>
      <xdr:col>14</xdr:col>
      <xdr:colOff>220980</xdr:colOff>
      <xdr:row>22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626.934400231483" createdVersion="7" refreshedVersion="7" minRefreshableVersion="3" recordCount="100" xr:uid="{4B33EA02-8888-49F4-AB1F-8A9329ACB5F2}">
  <cacheSource type="worksheet">
    <worksheetSource ref="A1:F101" sheet="Savings Data"/>
  </cacheSource>
  <cacheFields count="7">
    <cacheField name="Serial No" numFmtId="0">
      <sharedItems containsSemiMixedTypes="0" containsString="0" containsNumber="1" containsInteger="1" minValue="1" maxValue="100"/>
    </cacheField>
    <cacheField name="Savings" numFmtId="0">
      <sharedItems containsSemiMixedTypes="0" containsString="0" containsNumber="1" containsInteger="1" minValue="-5577" maxValue="25405"/>
    </cacheField>
    <cacheField name="Income" numFmtId="0">
      <sharedItems containsSemiMixedTypes="0" containsString="0" containsNumber="1" containsInteger="1" minValue="750" maxValue="32080" count="100">
        <n v="1920"/>
        <n v="12403"/>
        <n v="6396"/>
        <n v="7005"/>
        <n v="6990"/>
        <n v="6500"/>
        <n v="26007"/>
        <n v="15363"/>
        <n v="14999"/>
        <n v="9185"/>
        <n v="10600"/>
        <n v="12089"/>
        <n v="6254"/>
        <n v="9010"/>
        <n v="6217"/>
        <n v="5912"/>
        <n v="4800"/>
        <n v="2340"/>
        <n v="7832"/>
        <n v="9563"/>
        <n v="7600"/>
        <n v="13858"/>
        <n v="5802"/>
        <n v="19362"/>
        <n v="8000"/>
        <n v="17200"/>
        <n v="4091"/>
        <n v="9600"/>
        <n v="10425"/>
        <n v="6512"/>
        <n v="7675"/>
        <n v="12418"/>
        <n v="6079"/>
        <n v="6979"/>
        <n v="10517"/>
        <n v="30996"/>
        <n v="5283"/>
        <n v="8511"/>
        <n v="12700"/>
        <n v="16770"/>
        <n v="8300"/>
        <n v="5375"/>
        <n v="6265"/>
        <n v="8520"/>
        <n v="24226"/>
        <n v="750"/>
        <n v="7356"/>
        <n v="9000"/>
        <n v="14660"/>
        <n v="5593"/>
        <n v="11841"/>
        <n v="7700"/>
        <n v="10550"/>
        <n v="13700"/>
        <n v="12242"/>
        <n v="7803"/>
        <n v="9879"/>
        <n v="9154"/>
        <n v="7067"/>
        <n v="4496"/>
        <n v="4636"/>
        <n v="9003"/>
        <n v="13820"/>
        <n v="8891"/>
        <n v="8632"/>
        <n v="8385"/>
        <n v="5403"/>
        <n v="8573"/>
        <n v="6516"/>
        <n v="6000"/>
        <n v="16778"/>
        <n v="9504"/>
        <n v="8953"/>
        <n v="8703"/>
        <n v="12667"/>
        <n v="6504"/>
        <n v="8180"/>
        <n v="11600"/>
        <n v="5602"/>
        <n v="10390"/>
        <n v="30610"/>
        <n v="3941"/>
        <n v="2936"/>
        <n v="11068"/>
        <n v="8338"/>
        <n v="6683"/>
        <n v="7212"/>
        <n v="10411"/>
        <n v="8850"/>
        <n v="8334"/>
        <n v="13923"/>
        <n v="6214"/>
        <n v="12323"/>
        <n v="14963"/>
        <n v="10060"/>
        <n v="32080"/>
        <n v="9260"/>
        <n v="10450"/>
        <n v="9138"/>
        <n v="12350"/>
      </sharedItems>
    </cacheField>
    <cacheField name="Family Size" numFmtId="0">
      <sharedItems containsSemiMixedTypes="0" containsString="0" containsNumber="1" containsInteger="1" minValue="2" maxValue="10" count="9">
        <n v="4"/>
        <n v="2"/>
        <n v="3"/>
        <n v="5"/>
        <n v="10"/>
        <n v="7"/>
        <n v="6"/>
        <n v="9"/>
        <n v="8"/>
      </sharedItems>
    </cacheField>
    <cacheField name="Years of Education(Household Head)" numFmtId="0">
      <sharedItems containsSemiMixedTypes="0" containsString="0" containsNumber="1" containsInteger="1" minValue="2" maxValue="20" count="18">
        <n v="2"/>
        <n v="9"/>
        <n v="17"/>
        <n v="12"/>
        <n v="13"/>
        <n v="16"/>
        <n v="10"/>
        <n v="11"/>
        <n v="14"/>
        <n v="7"/>
        <n v="8"/>
        <n v="6"/>
        <n v="3"/>
        <n v="4"/>
        <n v="15"/>
        <n v="19"/>
        <n v="20"/>
        <n v="18"/>
      </sharedItems>
    </cacheField>
    <cacheField name="Age of Household Head" numFmtId="0">
      <sharedItems containsSemiMixedTypes="0" containsString="0" containsNumber="1" containsInteger="1" minValue="26" maxValue="54"/>
    </cacheField>
    <cacheField name="Black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626.952535416669" createdVersion="7" refreshedVersion="7" minRefreshableVersion="3" recordCount="100" xr:uid="{70B39D27-28FD-4E54-9D31-6558A79C36FB}">
  <cacheSource type="worksheet">
    <worksheetSource ref="A1:G101" sheet="Savings Data"/>
  </cacheSource>
  <cacheFields count="8">
    <cacheField name="Serial No" numFmtId="0">
      <sharedItems containsSemiMixedTypes="0" containsString="0" containsNumber="1" containsInteger="1" minValue="1" maxValue="100"/>
    </cacheField>
    <cacheField name="Savings" numFmtId="0">
      <sharedItems containsSemiMixedTypes="0" containsString="0" containsNumber="1" containsInteger="1" minValue="-5577" maxValue="25405"/>
    </cacheField>
    <cacheField name="Income" numFmtId="0">
      <sharedItems containsSemiMixedTypes="0" containsString="0" containsNumber="1" containsInteger="1" minValue="750" maxValue="32080"/>
    </cacheField>
    <cacheField name="Family Size" numFmtId="0">
      <sharedItems containsSemiMixedTypes="0" containsString="0" containsNumber="1" containsInteger="1" minValue="2" maxValue="10"/>
    </cacheField>
    <cacheField name="Years of Education(Household Head)" numFmtId="0">
      <sharedItems containsSemiMixedTypes="0" containsString="0" containsNumber="1" containsInteger="1" minValue="2" maxValue="20"/>
    </cacheField>
    <cacheField name="Age of Household Head" numFmtId="0">
      <sharedItems containsSemiMixedTypes="0" containsString="0" containsNumber="1" containsInteger="1" minValue="26" maxValue="54"/>
    </cacheField>
    <cacheField name="Black" numFmtId="0">
      <sharedItems containsSemiMixedTypes="0" containsString="0" containsNumber="1" containsInteger="1" minValue="0" maxValue="1"/>
    </cacheField>
    <cacheField name="Income Brackets" numFmtId="0">
      <sharedItems count="4">
        <s v="&lt;10k"/>
        <s v="10k-20k"/>
        <s v="20k-30k"/>
        <s v="30k+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626.957329861114" createdVersion="7" refreshedVersion="7" minRefreshableVersion="3" recordCount="100" xr:uid="{B4612744-8BB4-4A75-8338-7BDD6D4CE1EF}">
  <cacheSource type="worksheet">
    <worksheetSource ref="A1:H101" sheet="Savings Data"/>
  </cacheSource>
  <cacheFields count="9">
    <cacheField name="Serial No" numFmtId="0">
      <sharedItems containsSemiMixedTypes="0" containsString="0" containsNumber="1" containsInteger="1" minValue="1" maxValue="100"/>
    </cacheField>
    <cacheField name="Savings" numFmtId="0">
      <sharedItems containsSemiMixedTypes="0" containsString="0" containsNumber="1" containsInteger="1" minValue="-5577" maxValue="25405"/>
    </cacheField>
    <cacheField name="Income" numFmtId="0">
      <sharedItems containsSemiMixedTypes="0" containsString="0" containsNumber="1" containsInteger="1" minValue="750" maxValue="32080"/>
    </cacheField>
    <cacheField name="Family Size" numFmtId="0">
      <sharedItems containsSemiMixedTypes="0" containsString="0" containsNumber="1" containsInteger="1" minValue="2" maxValue="10" count="9">
        <n v="4"/>
        <n v="2"/>
        <n v="3"/>
        <n v="5"/>
        <n v="10"/>
        <n v="7"/>
        <n v="6"/>
        <n v="9"/>
        <n v="8"/>
      </sharedItems>
    </cacheField>
    <cacheField name="Years of Education(Household Head)" numFmtId="0">
      <sharedItems containsSemiMixedTypes="0" containsString="0" containsNumber="1" containsInteger="1" minValue="2" maxValue="20" count="18">
        <n v="2"/>
        <n v="9"/>
        <n v="17"/>
        <n v="12"/>
        <n v="13"/>
        <n v="16"/>
        <n v="10"/>
        <n v="11"/>
        <n v="14"/>
        <n v="7"/>
        <n v="8"/>
        <n v="6"/>
        <n v="3"/>
        <n v="4"/>
        <n v="15"/>
        <n v="19"/>
        <n v="20"/>
        <n v="18"/>
      </sharedItems>
    </cacheField>
    <cacheField name="Age of Household Head" numFmtId="0">
      <sharedItems containsSemiMixedTypes="0" containsString="0" containsNumber="1" containsInteger="1" minValue="26" maxValue="54"/>
    </cacheField>
    <cacheField name="Black" numFmtId="0">
      <sharedItems containsSemiMixedTypes="0" containsString="0" containsNumber="1" containsInteger="1" minValue="0" maxValue="1" count="2">
        <n v="1"/>
        <n v="0"/>
      </sharedItems>
    </cacheField>
    <cacheField name="Income Brackets" numFmtId="0">
      <sharedItems count="4">
        <s v="&lt;10k"/>
        <s v="10k-20k"/>
        <s v="20k-30k"/>
        <s v="30k+"/>
      </sharedItems>
    </cacheField>
    <cacheField name="Age Groups" numFmtId="0">
      <sharedItems count="3">
        <s v="30-40"/>
        <s v="40+"/>
        <s v="20-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n v="30"/>
    <x v="0"/>
    <x v="0"/>
    <x v="0"/>
    <n v="40"/>
    <n v="1"/>
  </r>
  <r>
    <n v="2"/>
    <n v="874"/>
    <x v="1"/>
    <x v="0"/>
    <x v="1"/>
    <n v="33"/>
    <n v="0"/>
  </r>
  <r>
    <n v="3"/>
    <n v="370"/>
    <x v="2"/>
    <x v="1"/>
    <x v="2"/>
    <n v="31"/>
    <n v="0"/>
  </r>
  <r>
    <n v="4"/>
    <n v="1200"/>
    <x v="3"/>
    <x v="2"/>
    <x v="1"/>
    <n v="50"/>
    <n v="0"/>
  </r>
  <r>
    <n v="5"/>
    <n v="275"/>
    <x v="4"/>
    <x v="0"/>
    <x v="3"/>
    <n v="28"/>
    <n v="0"/>
  </r>
  <r>
    <n v="6"/>
    <n v="1400"/>
    <x v="5"/>
    <x v="0"/>
    <x v="4"/>
    <n v="33"/>
    <n v="0"/>
  </r>
  <r>
    <n v="7"/>
    <n v="3159"/>
    <x v="6"/>
    <x v="3"/>
    <x v="2"/>
    <n v="36"/>
    <n v="0"/>
  </r>
  <r>
    <n v="8"/>
    <n v="1766"/>
    <x v="7"/>
    <x v="3"/>
    <x v="5"/>
    <n v="44"/>
    <n v="0"/>
  </r>
  <r>
    <n v="9"/>
    <n v="3984"/>
    <x v="8"/>
    <x v="3"/>
    <x v="1"/>
    <n v="48"/>
    <n v="1"/>
  </r>
  <r>
    <n v="10"/>
    <n v="1017"/>
    <x v="9"/>
    <x v="3"/>
    <x v="5"/>
    <n v="31"/>
    <n v="0"/>
  </r>
  <r>
    <n v="11"/>
    <n v="1004"/>
    <x v="10"/>
    <x v="4"/>
    <x v="1"/>
    <n v="41"/>
    <n v="0"/>
  </r>
  <r>
    <n v="12"/>
    <n v="687"/>
    <x v="11"/>
    <x v="0"/>
    <x v="6"/>
    <n v="41"/>
    <n v="0"/>
  </r>
  <r>
    <n v="13"/>
    <n v="-34"/>
    <x v="12"/>
    <x v="5"/>
    <x v="7"/>
    <n v="36"/>
    <n v="0"/>
  </r>
  <r>
    <n v="14"/>
    <n v="-1389"/>
    <x v="13"/>
    <x v="3"/>
    <x v="8"/>
    <n v="31"/>
    <n v="0"/>
  </r>
  <r>
    <n v="15"/>
    <n v="1000"/>
    <x v="14"/>
    <x v="3"/>
    <x v="9"/>
    <n v="27"/>
    <n v="0"/>
  </r>
  <r>
    <n v="16"/>
    <n v="1831"/>
    <x v="15"/>
    <x v="3"/>
    <x v="10"/>
    <n v="42"/>
    <n v="0"/>
  </r>
  <r>
    <n v="17"/>
    <n v="613"/>
    <x v="16"/>
    <x v="0"/>
    <x v="3"/>
    <n v="28"/>
    <n v="0"/>
  </r>
  <r>
    <n v="18"/>
    <n v="50"/>
    <x v="17"/>
    <x v="1"/>
    <x v="11"/>
    <n v="46"/>
    <n v="1"/>
  </r>
  <r>
    <n v="19"/>
    <n v="13"/>
    <x v="18"/>
    <x v="2"/>
    <x v="3"/>
    <n v="47"/>
    <n v="0"/>
  </r>
  <r>
    <n v="20"/>
    <n v="1389"/>
    <x v="19"/>
    <x v="5"/>
    <x v="10"/>
    <n v="35"/>
    <n v="0"/>
  </r>
  <r>
    <n v="21"/>
    <n v="602"/>
    <x v="20"/>
    <x v="2"/>
    <x v="1"/>
    <n v="41"/>
    <n v="0"/>
  </r>
  <r>
    <n v="22"/>
    <n v="2221"/>
    <x v="21"/>
    <x v="0"/>
    <x v="2"/>
    <n v="30"/>
    <n v="0"/>
  </r>
  <r>
    <n v="23"/>
    <n v="1588"/>
    <x v="22"/>
    <x v="6"/>
    <x v="3"/>
    <n v="38"/>
    <n v="0"/>
  </r>
  <r>
    <n v="24"/>
    <n v="5082"/>
    <x v="23"/>
    <x v="2"/>
    <x v="7"/>
    <n v="48"/>
    <n v="0"/>
  </r>
  <r>
    <n v="25"/>
    <n v="1846"/>
    <x v="24"/>
    <x v="2"/>
    <x v="6"/>
    <n v="36"/>
    <n v="0"/>
  </r>
  <r>
    <n v="26"/>
    <n v="914"/>
    <x v="25"/>
    <x v="2"/>
    <x v="3"/>
    <n v="45"/>
    <n v="0"/>
  </r>
  <r>
    <n v="27"/>
    <n v="2483"/>
    <x v="26"/>
    <x v="6"/>
    <x v="10"/>
    <n v="44"/>
    <n v="0"/>
  </r>
  <r>
    <n v="28"/>
    <n v="837"/>
    <x v="27"/>
    <x v="0"/>
    <x v="6"/>
    <n v="44"/>
    <n v="0"/>
  </r>
  <r>
    <n v="29"/>
    <n v="1274"/>
    <x v="28"/>
    <x v="2"/>
    <x v="12"/>
    <n v="46"/>
    <n v="0"/>
  </r>
  <r>
    <n v="30"/>
    <n v="-275"/>
    <x v="29"/>
    <x v="0"/>
    <x v="3"/>
    <n v="26"/>
    <n v="0"/>
  </r>
  <r>
    <n v="31"/>
    <n v="1092"/>
    <x v="30"/>
    <x v="3"/>
    <x v="3"/>
    <n v="50"/>
    <n v="0"/>
  </r>
  <r>
    <n v="32"/>
    <n v="1157"/>
    <x v="31"/>
    <x v="0"/>
    <x v="10"/>
    <n v="46"/>
    <n v="0"/>
  </r>
  <r>
    <n v="33"/>
    <n v="340"/>
    <x v="32"/>
    <x v="3"/>
    <x v="10"/>
    <n v="33"/>
    <n v="0"/>
  </r>
  <r>
    <n v="34"/>
    <n v="373"/>
    <x v="33"/>
    <x v="0"/>
    <x v="3"/>
    <n v="41"/>
    <n v="0"/>
  </r>
  <r>
    <n v="35"/>
    <n v="3307"/>
    <x v="34"/>
    <x v="3"/>
    <x v="2"/>
    <n v="33"/>
    <n v="0"/>
  </r>
  <r>
    <n v="36"/>
    <n v="10668"/>
    <x v="35"/>
    <x v="0"/>
    <x v="3"/>
    <n v="41"/>
    <n v="0"/>
  </r>
  <r>
    <n v="37"/>
    <n v="1105"/>
    <x v="36"/>
    <x v="2"/>
    <x v="3"/>
    <n v="29"/>
    <n v="1"/>
  </r>
  <r>
    <n v="38"/>
    <n v="3500"/>
    <x v="37"/>
    <x v="7"/>
    <x v="7"/>
    <n v="27"/>
    <n v="0"/>
  </r>
  <r>
    <n v="39"/>
    <n v="541"/>
    <x v="38"/>
    <x v="3"/>
    <x v="3"/>
    <n v="42"/>
    <n v="0"/>
  </r>
  <r>
    <n v="40"/>
    <n v="3020"/>
    <x v="39"/>
    <x v="3"/>
    <x v="5"/>
    <n v="39"/>
    <n v="0"/>
  </r>
  <r>
    <n v="41"/>
    <n v="650"/>
    <x v="40"/>
    <x v="6"/>
    <x v="3"/>
    <n v="36"/>
    <n v="0"/>
  </r>
  <r>
    <n v="42"/>
    <n v="989"/>
    <x v="41"/>
    <x v="0"/>
    <x v="10"/>
    <n v="34"/>
    <n v="0"/>
  </r>
  <r>
    <n v="43"/>
    <n v="2532"/>
    <x v="42"/>
    <x v="0"/>
    <x v="3"/>
    <n v="40"/>
    <n v="0"/>
  </r>
  <r>
    <n v="44"/>
    <n v="6120"/>
    <x v="43"/>
    <x v="0"/>
    <x v="3"/>
    <n v="37"/>
    <n v="0"/>
  </r>
  <r>
    <n v="45"/>
    <n v="-2749"/>
    <x v="44"/>
    <x v="3"/>
    <x v="2"/>
    <n v="44"/>
    <n v="0"/>
  </r>
  <r>
    <n v="46"/>
    <n v="0"/>
    <x v="45"/>
    <x v="1"/>
    <x v="13"/>
    <n v="49"/>
    <n v="0"/>
  </r>
  <r>
    <n v="47"/>
    <n v="-1036"/>
    <x v="46"/>
    <x v="3"/>
    <x v="3"/>
    <n v="33"/>
    <n v="0"/>
  </r>
  <r>
    <n v="48"/>
    <n v="1351"/>
    <x v="47"/>
    <x v="6"/>
    <x v="8"/>
    <n v="36"/>
    <n v="0"/>
  </r>
  <r>
    <n v="49"/>
    <n v="-1150"/>
    <x v="48"/>
    <x v="0"/>
    <x v="14"/>
    <n v="51"/>
    <n v="0"/>
  </r>
  <r>
    <n v="50"/>
    <n v="-248"/>
    <x v="49"/>
    <x v="3"/>
    <x v="3"/>
    <n v="37"/>
    <n v="0"/>
  </r>
  <r>
    <n v="51"/>
    <n v="388"/>
    <x v="50"/>
    <x v="0"/>
    <x v="15"/>
    <n v="33"/>
    <n v="0"/>
  </r>
  <r>
    <n v="52"/>
    <n v="1157"/>
    <x v="51"/>
    <x v="0"/>
    <x v="8"/>
    <n v="39"/>
    <n v="0"/>
  </r>
  <r>
    <n v="53"/>
    <n v="1656"/>
    <x v="52"/>
    <x v="2"/>
    <x v="3"/>
    <n v="44"/>
    <n v="0"/>
  </r>
  <r>
    <n v="54"/>
    <n v="3959"/>
    <x v="53"/>
    <x v="0"/>
    <x v="9"/>
    <n v="50"/>
    <n v="0"/>
  </r>
  <r>
    <n v="55"/>
    <n v="5369"/>
    <x v="54"/>
    <x v="0"/>
    <x v="3"/>
    <n v="39"/>
    <n v="0"/>
  </r>
  <r>
    <n v="56"/>
    <n v="1405"/>
    <x v="55"/>
    <x v="6"/>
    <x v="9"/>
    <n v="46"/>
    <n v="0"/>
  </r>
  <r>
    <n v="57"/>
    <n v="220"/>
    <x v="56"/>
    <x v="0"/>
    <x v="3"/>
    <n v="43"/>
    <n v="0"/>
  </r>
  <r>
    <n v="58"/>
    <n v="-298"/>
    <x v="57"/>
    <x v="6"/>
    <x v="7"/>
    <n v="40"/>
    <n v="1"/>
  </r>
  <r>
    <n v="59"/>
    <n v="-276"/>
    <x v="58"/>
    <x v="1"/>
    <x v="1"/>
    <n v="40"/>
    <n v="0"/>
  </r>
  <r>
    <n v="60"/>
    <n v="-578"/>
    <x v="59"/>
    <x v="8"/>
    <x v="9"/>
    <n v="39"/>
    <n v="0"/>
  </r>
  <r>
    <n v="61"/>
    <n v="-1360"/>
    <x v="60"/>
    <x v="6"/>
    <x v="6"/>
    <n v="34"/>
    <n v="1"/>
  </r>
  <r>
    <n v="62"/>
    <n v="5277"/>
    <x v="61"/>
    <x v="0"/>
    <x v="6"/>
    <n v="32"/>
    <n v="1"/>
  </r>
  <r>
    <n v="63"/>
    <n v="980"/>
    <x v="62"/>
    <x v="2"/>
    <x v="5"/>
    <n v="42"/>
    <n v="0"/>
  </r>
  <r>
    <n v="64"/>
    <n v="2637"/>
    <x v="63"/>
    <x v="1"/>
    <x v="10"/>
    <n v="52"/>
    <n v="0"/>
  </r>
  <r>
    <n v="65"/>
    <n v="984"/>
    <x v="64"/>
    <x v="6"/>
    <x v="3"/>
    <n v="29"/>
    <n v="0"/>
  </r>
  <r>
    <n v="66"/>
    <n v="-76"/>
    <x v="65"/>
    <x v="1"/>
    <x v="3"/>
    <n v="27"/>
    <n v="0"/>
  </r>
  <r>
    <n v="67"/>
    <n v="902"/>
    <x v="66"/>
    <x v="3"/>
    <x v="6"/>
    <n v="37"/>
    <n v="0"/>
  </r>
  <r>
    <n v="68"/>
    <n v="10733"/>
    <x v="67"/>
    <x v="1"/>
    <x v="3"/>
    <n v="52"/>
    <n v="0"/>
  </r>
  <r>
    <n v="69"/>
    <n v="716"/>
    <x v="68"/>
    <x v="2"/>
    <x v="3"/>
    <n v="32"/>
    <n v="0"/>
  </r>
  <r>
    <n v="70"/>
    <n v="200"/>
    <x v="69"/>
    <x v="0"/>
    <x v="3"/>
    <n v="35"/>
    <n v="0"/>
  </r>
  <r>
    <n v="71"/>
    <n v="6"/>
    <x v="70"/>
    <x v="2"/>
    <x v="4"/>
    <n v="31"/>
    <n v="0"/>
  </r>
  <r>
    <n v="72"/>
    <n v="1464"/>
    <x v="71"/>
    <x v="3"/>
    <x v="1"/>
    <n v="36"/>
    <n v="0"/>
  </r>
  <r>
    <n v="73"/>
    <n v="948"/>
    <x v="72"/>
    <x v="6"/>
    <x v="5"/>
    <n v="34"/>
    <n v="0"/>
  </r>
  <r>
    <n v="74"/>
    <n v="835"/>
    <x v="73"/>
    <x v="2"/>
    <x v="3"/>
    <n v="54"/>
    <n v="0"/>
  </r>
  <r>
    <n v="75"/>
    <n v="-2883"/>
    <x v="74"/>
    <x v="0"/>
    <x v="3"/>
    <n v="52"/>
    <n v="0"/>
  </r>
  <r>
    <n v="76"/>
    <n v="298"/>
    <x v="75"/>
    <x v="6"/>
    <x v="1"/>
    <n v="28"/>
    <n v="0"/>
  </r>
  <r>
    <n v="77"/>
    <n v="481"/>
    <x v="76"/>
    <x v="6"/>
    <x v="3"/>
    <n v="44"/>
    <n v="0"/>
  </r>
  <r>
    <n v="78"/>
    <n v="5033"/>
    <x v="77"/>
    <x v="0"/>
    <x v="2"/>
    <n v="29"/>
    <n v="0"/>
  </r>
  <r>
    <n v="79"/>
    <n v="-111"/>
    <x v="78"/>
    <x v="0"/>
    <x v="1"/>
    <n v="50"/>
    <n v="0"/>
  </r>
  <r>
    <n v="80"/>
    <n v="0"/>
    <x v="79"/>
    <x v="0"/>
    <x v="10"/>
    <n v="50"/>
    <n v="0"/>
  </r>
  <r>
    <n v="81"/>
    <n v="4115"/>
    <x v="80"/>
    <x v="0"/>
    <x v="5"/>
    <n v="44"/>
    <n v="0"/>
  </r>
  <r>
    <n v="82"/>
    <n v="2575"/>
    <x v="81"/>
    <x v="0"/>
    <x v="1"/>
    <n v="34"/>
    <n v="0"/>
  </r>
  <r>
    <n v="83"/>
    <n v="-112"/>
    <x v="82"/>
    <x v="5"/>
    <x v="6"/>
    <n v="39"/>
    <n v="0"/>
  </r>
  <r>
    <n v="84"/>
    <n v="-5577"/>
    <x v="83"/>
    <x v="3"/>
    <x v="3"/>
    <n v="39"/>
    <n v="0"/>
  </r>
  <r>
    <n v="85"/>
    <n v="2750"/>
    <x v="84"/>
    <x v="0"/>
    <x v="8"/>
    <n v="29"/>
    <n v="0"/>
  </r>
  <r>
    <n v="86"/>
    <n v="95"/>
    <x v="85"/>
    <x v="2"/>
    <x v="10"/>
    <n v="38"/>
    <n v="0"/>
  </r>
  <r>
    <n v="87"/>
    <n v="1348"/>
    <x v="86"/>
    <x v="3"/>
    <x v="6"/>
    <n v="30"/>
    <n v="0"/>
  </r>
  <r>
    <n v="88"/>
    <n v="178"/>
    <x v="87"/>
    <x v="2"/>
    <x v="6"/>
    <n v="50"/>
    <n v="0"/>
  </r>
  <r>
    <n v="89"/>
    <n v="-695"/>
    <x v="88"/>
    <x v="1"/>
    <x v="10"/>
    <n v="33"/>
    <n v="0"/>
  </r>
  <r>
    <n v="90"/>
    <n v="787"/>
    <x v="89"/>
    <x v="0"/>
    <x v="1"/>
    <n v="35"/>
    <n v="0"/>
  </r>
  <r>
    <n v="91"/>
    <n v="4642"/>
    <x v="90"/>
    <x v="2"/>
    <x v="5"/>
    <n v="36"/>
    <n v="0"/>
  </r>
  <r>
    <n v="92"/>
    <n v="1260"/>
    <x v="91"/>
    <x v="0"/>
    <x v="3"/>
    <n v="33"/>
    <n v="0"/>
  </r>
  <r>
    <n v="93"/>
    <n v="2687"/>
    <x v="92"/>
    <x v="6"/>
    <x v="16"/>
    <n v="38"/>
    <n v="0"/>
  </r>
  <r>
    <n v="94"/>
    <n v="720"/>
    <x v="93"/>
    <x v="0"/>
    <x v="3"/>
    <n v="46"/>
    <n v="0"/>
  </r>
  <r>
    <n v="95"/>
    <n v="5109"/>
    <x v="94"/>
    <x v="0"/>
    <x v="5"/>
    <n v="50"/>
    <n v="0"/>
  </r>
  <r>
    <n v="96"/>
    <n v="1800"/>
    <x v="95"/>
    <x v="1"/>
    <x v="5"/>
    <n v="54"/>
    <n v="0"/>
  </r>
  <r>
    <n v="97"/>
    <n v="1684"/>
    <x v="96"/>
    <x v="3"/>
    <x v="3"/>
    <n v="31"/>
    <n v="0"/>
  </r>
  <r>
    <n v="98"/>
    <n v="1475"/>
    <x v="97"/>
    <x v="1"/>
    <x v="17"/>
    <n v="27"/>
    <n v="0"/>
  </r>
  <r>
    <n v="99"/>
    <n v="566"/>
    <x v="98"/>
    <x v="3"/>
    <x v="3"/>
    <n v="40"/>
    <n v="0"/>
  </r>
  <r>
    <n v="100"/>
    <n v="25405"/>
    <x v="99"/>
    <x v="6"/>
    <x v="17"/>
    <n v="34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n v="30"/>
    <n v="1920"/>
    <n v="4"/>
    <n v="2"/>
    <n v="40"/>
    <n v="1"/>
    <x v="0"/>
  </r>
  <r>
    <n v="2"/>
    <n v="874"/>
    <n v="12403"/>
    <n v="4"/>
    <n v="9"/>
    <n v="33"/>
    <n v="0"/>
    <x v="1"/>
  </r>
  <r>
    <n v="3"/>
    <n v="370"/>
    <n v="6396"/>
    <n v="2"/>
    <n v="17"/>
    <n v="31"/>
    <n v="0"/>
    <x v="0"/>
  </r>
  <r>
    <n v="4"/>
    <n v="1200"/>
    <n v="7005"/>
    <n v="3"/>
    <n v="9"/>
    <n v="50"/>
    <n v="0"/>
    <x v="0"/>
  </r>
  <r>
    <n v="5"/>
    <n v="275"/>
    <n v="6990"/>
    <n v="4"/>
    <n v="12"/>
    <n v="28"/>
    <n v="0"/>
    <x v="0"/>
  </r>
  <r>
    <n v="6"/>
    <n v="1400"/>
    <n v="6500"/>
    <n v="4"/>
    <n v="13"/>
    <n v="33"/>
    <n v="0"/>
    <x v="0"/>
  </r>
  <r>
    <n v="7"/>
    <n v="3159"/>
    <n v="26007"/>
    <n v="5"/>
    <n v="17"/>
    <n v="36"/>
    <n v="0"/>
    <x v="2"/>
  </r>
  <r>
    <n v="8"/>
    <n v="1766"/>
    <n v="15363"/>
    <n v="5"/>
    <n v="16"/>
    <n v="44"/>
    <n v="0"/>
    <x v="1"/>
  </r>
  <r>
    <n v="9"/>
    <n v="3984"/>
    <n v="14999"/>
    <n v="5"/>
    <n v="9"/>
    <n v="48"/>
    <n v="1"/>
    <x v="1"/>
  </r>
  <r>
    <n v="10"/>
    <n v="1017"/>
    <n v="9185"/>
    <n v="5"/>
    <n v="16"/>
    <n v="31"/>
    <n v="0"/>
    <x v="0"/>
  </r>
  <r>
    <n v="11"/>
    <n v="1004"/>
    <n v="10600"/>
    <n v="10"/>
    <n v="9"/>
    <n v="41"/>
    <n v="0"/>
    <x v="1"/>
  </r>
  <r>
    <n v="12"/>
    <n v="687"/>
    <n v="12089"/>
    <n v="4"/>
    <n v="10"/>
    <n v="41"/>
    <n v="0"/>
    <x v="1"/>
  </r>
  <r>
    <n v="13"/>
    <n v="-34"/>
    <n v="6254"/>
    <n v="7"/>
    <n v="11"/>
    <n v="36"/>
    <n v="0"/>
    <x v="0"/>
  </r>
  <r>
    <n v="14"/>
    <n v="-1389"/>
    <n v="9010"/>
    <n v="5"/>
    <n v="14"/>
    <n v="31"/>
    <n v="0"/>
    <x v="0"/>
  </r>
  <r>
    <n v="15"/>
    <n v="1000"/>
    <n v="6217"/>
    <n v="5"/>
    <n v="7"/>
    <n v="27"/>
    <n v="0"/>
    <x v="0"/>
  </r>
  <r>
    <n v="16"/>
    <n v="1831"/>
    <n v="5912"/>
    <n v="5"/>
    <n v="8"/>
    <n v="42"/>
    <n v="0"/>
    <x v="0"/>
  </r>
  <r>
    <n v="17"/>
    <n v="613"/>
    <n v="4800"/>
    <n v="4"/>
    <n v="12"/>
    <n v="28"/>
    <n v="0"/>
    <x v="0"/>
  </r>
  <r>
    <n v="18"/>
    <n v="50"/>
    <n v="2340"/>
    <n v="2"/>
    <n v="6"/>
    <n v="46"/>
    <n v="1"/>
    <x v="0"/>
  </r>
  <r>
    <n v="19"/>
    <n v="13"/>
    <n v="7832"/>
    <n v="3"/>
    <n v="12"/>
    <n v="47"/>
    <n v="0"/>
    <x v="0"/>
  </r>
  <r>
    <n v="20"/>
    <n v="1389"/>
    <n v="9563"/>
    <n v="7"/>
    <n v="8"/>
    <n v="35"/>
    <n v="0"/>
    <x v="0"/>
  </r>
  <r>
    <n v="21"/>
    <n v="602"/>
    <n v="7600"/>
    <n v="3"/>
    <n v="9"/>
    <n v="41"/>
    <n v="0"/>
    <x v="0"/>
  </r>
  <r>
    <n v="22"/>
    <n v="2221"/>
    <n v="13858"/>
    <n v="4"/>
    <n v="17"/>
    <n v="30"/>
    <n v="0"/>
    <x v="1"/>
  </r>
  <r>
    <n v="23"/>
    <n v="1588"/>
    <n v="5802"/>
    <n v="6"/>
    <n v="12"/>
    <n v="38"/>
    <n v="0"/>
    <x v="0"/>
  </r>
  <r>
    <n v="24"/>
    <n v="5082"/>
    <n v="19362"/>
    <n v="3"/>
    <n v="11"/>
    <n v="48"/>
    <n v="0"/>
    <x v="1"/>
  </r>
  <r>
    <n v="25"/>
    <n v="1846"/>
    <n v="8000"/>
    <n v="3"/>
    <n v="10"/>
    <n v="36"/>
    <n v="0"/>
    <x v="0"/>
  </r>
  <r>
    <n v="26"/>
    <n v="914"/>
    <n v="17200"/>
    <n v="3"/>
    <n v="12"/>
    <n v="45"/>
    <n v="0"/>
    <x v="1"/>
  </r>
  <r>
    <n v="27"/>
    <n v="2483"/>
    <n v="4091"/>
    <n v="6"/>
    <n v="8"/>
    <n v="44"/>
    <n v="0"/>
    <x v="0"/>
  </r>
  <r>
    <n v="28"/>
    <n v="837"/>
    <n v="9600"/>
    <n v="4"/>
    <n v="10"/>
    <n v="44"/>
    <n v="0"/>
    <x v="0"/>
  </r>
  <r>
    <n v="29"/>
    <n v="1274"/>
    <n v="10425"/>
    <n v="3"/>
    <n v="3"/>
    <n v="46"/>
    <n v="0"/>
    <x v="1"/>
  </r>
  <r>
    <n v="30"/>
    <n v="-275"/>
    <n v="6512"/>
    <n v="4"/>
    <n v="12"/>
    <n v="26"/>
    <n v="0"/>
    <x v="0"/>
  </r>
  <r>
    <n v="31"/>
    <n v="1092"/>
    <n v="7675"/>
    <n v="5"/>
    <n v="12"/>
    <n v="50"/>
    <n v="0"/>
    <x v="0"/>
  </r>
  <r>
    <n v="32"/>
    <n v="1157"/>
    <n v="12418"/>
    <n v="4"/>
    <n v="8"/>
    <n v="46"/>
    <n v="0"/>
    <x v="1"/>
  </r>
  <r>
    <n v="33"/>
    <n v="340"/>
    <n v="6079"/>
    <n v="5"/>
    <n v="8"/>
    <n v="33"/>
    <n v="0"/>
    <x v="0"/>
  </r>
  <r>
    <n v="34"/>
    <n v="373"/>
    <n v="6979"/>
    <n v="4"/>
    <n v="12"/>
    <n v="41"/>
    <n v="0"/>
    <x v="0"/>
  </r>
  <r>
    <n v="35"/>
    <n v="3307"/>
    <n v="10517"/>
    <n v="5"/>
    <n v="17"/>
    <n v="33"/>
    <n v="0"/>
    <x v="1"/>
  </r>
  <r>
    <n v="36"/>
    <n v="10668"/>
    <n v="30996"/>
    <n v="4"/>
    <n v="12"/>
    <n v="41"/>
    <n v="0"/>
    <x v="3"/>
  </r>
  <r>
    <n v="37"/>
    <n v="1105"/>
    <n v="5283"/>
    <n v="3"/>
    <n v="12"/>
    <n v="29"/>
    <n v="1"/>
    <x v="0"/>
  </r>
  <r>
    <n v="38"/>
    <n v="3500"/>
    <n v="8511"/>
    <n v="9"/>
    <n v="11"/>
    <n v="27"/>
    <n v="0"/>
    <x v="0"/>
  </r>
  <r>
    <n v="39"/>
    <n v="541"/>
    <n v="12700"/>
    <n v="5"/>
    <n v="12"/>
    <n v="42"/>
    <n v="0"/>
    <x v="1"/>
  </r>
  <r>
    <n v="40"/>
    <n v="3020"/>
    <n v="16770"/>
    <n v="5"/>
    <n v="16"/>
    <n v="39"/>
    <n v="0"/>
    <x v="1"/>
  </r>
  <r>
    <n v="41"/>
    <n v="650"/>
    <n v="8300"/>
    <n v="6"/>
    <n v="12"/>
    <n v="36"/>
    <n v="0"/>
    <x v="0"/>
  </r>
  <r>
    <n v="42"/>
    <n v="989"/>
    <n v="5375"/>
    <n v="4"/>
    <n v="8"/>
    <n v="34"/>
    <n v="0"/>
    <x v="0"/>
  </r>
  <r>
    <n v="43"/>
    <n v="2532"/>
    <n v="6265"/>
    <n v="4"/>
    <n v="12"/>
    <n v="40"/>
    <n v="0"/>
    <x v="0"/>
  </r>
  <r>
    <n v="44"/>
    <n v="6120"/>
    <n v="8520"/>
    <n v="4"/>
    <n v="12"/>
    <n v="37"/>
    <n v="0"/>
    <x v="0"/>
  </r>
  <r>
    <n v="45"/>
    <n v="-2749"/>
    <n v="24226"/>
    <n v="5"/>
    <n v="17"/>
    <n v="44"/>
    <n v="0"/>
    <x v="2"/>
  </r>
  <r>
    <n v="46"/>
    <n v="0"/>
    <n v="750"/>
    <n v="2"/>
    <n v="4"/>
    <n v="49"/>
    <n v="0"/>
    <x v="0"/>
  </r>
  <r>
    <n v="47"/>
    <n v="-1036"/>
    <n v="7356"/>
    <n v="5"/>
    <n v="12"/>
    <n v="33"/>
    <n v="0"/>
    <x v="0"/>
  </r>
  <r>
    <n v="48"/>
    <n v="1351"/>
    <n v="9000"/>
    <n v="6"/>
    <n v="14"/>
    <n v="36"/>
    <n v="0"/>
    <x v="0"/>
  </r>
  <r>
    <n v="49"/>
    <n v="-1150"/>
    <n v="14660"/>
    <n v="4"/>
    <n v="15"/>
    <n v="51"/>
    <n v="0"/>
    <x v="1"/>
  </r>
  <r>
    <n v="50"/>
    <n v="-248"/>
    <n v="5593"/>
    <n v="5"/>
    <n v="12"/>
    <n v="37"/>
    <n v="0"/>
    <x v="0"/>
  </r>
  <r>
    <n v="51"/>
    <n v="388"/>
    <n v="11841"/>
    <n v="4"/>
    <n v="19"/>
    <n v="33"/>
    <n v="0"/>
    <x v="1"/>
  </r>
  <r>
    <n v="52"/>
    <n v="1157"/>
    <n v="7700"/>
    <n v="4"/>
    <n v="14"/>
    <n v="39"/>
    <n v="0"/>
    <x v="0"/>
  </r>
  <r>
    <n v="53"/>
    <n v="1656"/>
    <n v="10550"/>
    <n v="3"/>
    <n v="12"/>
    <n v="44"/>
    <n v="0"/>
    <x v="1"/>
  </r>
  <r>
    <n v="54"/>
    <n v="3959"/>
    <n v="13700"/>
    <n v="4"/>
    <n v="7"/>
    <n v="50"/>
    <n v="0"/>
    <x v="1"/>
  </r>
  <r>
    <n v="55"/>
    <n v="5369"/>
    <n v="12242"/>
    <n v="4"/>
    <n v="12"/>
    <n v="39"/>
    <n v="0"/>
    <x v="1"/>
  </r>
  <r>
    <n v="56"/>
    <n v="1405"/>
    <n v="7803"/>
    <n v="6"/>
    <n v="7"/>
    <n v="46"/>
    <n v="0"/>
    <x v="0"/>
  </r>
  <r>
    <n v="57"/>
    <n v="220"/>
    <n v="9879"/>
    <n v="4"/>
    <n v="12"/>
    <n v="43"/>
    <n v="0"/>
    <x v="0"/>
  </r>
  <r>
    <n v="58"/>
    <n v="-298"/>
    <n v="9154"/>
    <n v="6"/>
    <n v="11"/>
    <n v="40"/>
    <n v="1"/>
    <x v="0"/>
  </r>
  <r>
    <n v="59"/>
    <n v="-276"/>
    <n v="7067"/>
    <n v="2"/>
    <n v="9"/>
    <n v="40"/>
    <n v="0"/>
    <x v="0"/>
  </r>
  <r>
    <n v="60"/>
    <n v="-578"/>
    <n v="4496"/>
    <n v="8"/>
    <n v="7"/>
    <n v="39"/>
    <n v="0"/>
    <x v="0"/>
  </r>
  <r>
    <n v="61"/>
    <n v="-1360"/>
    <n v="4636"/>
    <n v="6"/>
    <n v="10"/>
    <n v="34"/>
    <n v="1"/>
    <x v="0"/>
  </r>
  <r>
    <n v="62"/>
    <n v="5277"/>
    <n v="9003"/>
    <n v="4"/>
    <n v="10"/>
    <n v="32"/>
    <n v="1"/>
    <x v="0"/>
  </r>
  <r>
    <n v="63"/>
    <n v="980"/>
    <n v="13820"/>
    <n v="3"/>
    <n v="16"/>
    <n v="42"/>
    <n v="0"/>
    <x v="1"/>
  </r>
  <r>
    <n v="64"/>
    <n v="2637"/>
    <n v="8891"/>
    <n v="2"/>
    <n v="8"/>
    <n v="52"/>
    <n v="0"/>
    <x v="0"/>
  </r>
  <r>
    <n v="65"/>
    <n v="984"/>
    <n v="8632"/>
    <n v="6"/>
    <n v="12"/>
    <n v="29"/>
    <n v="0"/>
    <x v="0"/>
  </r>
  <r>
    <n v="66"/>
    <n v="-76"/>
    <n v="8385"/>
    <n v="2"/>
    <n v="12"/>
    <n v="27"/>
    <n v="0"/>
    <x v="0"/>
  </r>
  <r>
    <n v="67"/>
    <n v="902"/>
    <n v="5403"/>
    <n v="5"/>
    <n v="10"/>
    <n v="37"/>
    <n v="0"/>
    <x v="0"/>
  </r>
  <r>
    <n v="68"/>
    <n v="10733"/>
    <n v="8573"/>
    <n v="2"/>
    <n v="12"/>
    <n v="52"/>
    <n v="0"/>
    <x v="0"/>
  </r>
  <r>
    <n v="69"/>
    <n v="716"/>
    <n v="6516"/>
    <n v="3"/>
    <n v="12"/>
    <n v="32"/>
    <n v="0"/>
    <x v="0"/>
  </r>
  <r>
    <n v="70"/>
    <n v="200"/>
    <n v="6000"/>
    <n v="4"/>
    <n v="12"/>
    <n v="35"/>
    <n v="0"/>
    <x v="0"/>
  </r>
  <r>
    <n v="71"/>
    <n v="6"/>
    <n v="16778"/>
    <n v="3"/>
    <n v="13"/>
    <n v="31"/>
    <n v="0"/>
    <x v="1"/>
  </r>
  <r>
    <n v="72"/>
    <n v="1464"/>
    <n v="9504"/>
    <n v="5"/>
    <n v="9"/>
    <n v="36"/>
    <n v="0"/>
    <x v="0"/>
  </r>
  <r>
    <n v="73"/>
    <n v="948"/>
    <n v="8953"/>
    <n v="6"/>
    <n v="16"/>
    <n v="34"/>
    <n v="0"/>
    <x v="0"/>
  </r>
  <r>
    <n v="74"/>
    <n v="835"/>
    <n v="8703"/>
    <n v="3"/>
    <n v="12"/>
    <n v="54"/>
    <n v="0"/>
    <x v="0"/>
  </r>
  <r>
    <n v="75"/>
    <n v="-2883"/>
    <n v="12667"/>
    <n v="4"/>
    <n v="12"/>
    <n v="52"/>
    <n v="0"/>
    <x v="1"/>
  </r>
  <r>
    <n v="76"/>
    <n v="298"/>
    <n v="6504"/>
    <n v="6"/>
    <n v="9"/>
    <n v="28"/>
    <n v="0"/>
    <x v="0"/>
  </r>
  <r>
    <n v="77"/>
    <n v="481"/>
    <n v="8180"/>
    <n v="6"/>
    <n v="12"/>
    <n v="44"/>
    <n v="0"/>
    <x v="0"/>
  </r>
  <r>
    <n v="78"/>
    <n v="5033"/>
    <n v="11600"/>
    <n v="4"/>
    <n v="17"/>
    <n v="29"/>
    <n v="0"/>
    <x v="1"/>
  </r>
  <r>
    <n v="79"/>
    <n v="-111"/>
    <n v="5602"/>
    <n v="4"/>
    <n v="9"/>
    <n v="50"/>
    <n v="0"/>
    <x v="0"/>
  </r>
  <r>
    <n v="80"/>
    <n v="0"/>
    <n v="10390"/>
    <n v="4"/>
    <n v="8"/>
    <n v="50"/>
    <n v="0"/>
    <x v="1"/>
  </r>
  <r>
    <n v="81"/>
    <n v="4115"/>
    <n v="30610"/>
    <n v="4"/>
    <n v="16"/>
    <n v="44"/>
    <n v="0"/>
    <x v="3"/>
  </r>
  <r>
    <n v="82"/>
    <n v="2575"/>
    <n v="3941"/>
    <n v="4"/>
    <n v="9"/>
    <n v="34"/>
    <n v="0"/>
    <x v="0"/>
  </r>
  <r>
    <n v="83"/>
    <n v="-112"/>
    <n v="2936"/>
    <n v="7"/>
    <n v="10"/>
    <n v="39"/>
    <n v="0"/>
    <x v="0"/>
  </r>
  <r>
    <n v="84"/>
    <n v="-5577"/>
    <n v="11068"/>
    <n v="5"/>
    <n v="12"/>
    <n v="39"/>
    <n v="0"/>
    <x v="1"/>
  </r>
  <r>
    <n v="85"/>
    <n v="2750"/>
    <n v="8338"/>
    <n v="4"/>
    <n v="14"/>
    <n v="29"/>
    <n v="0"/>
    <x v="0"/>
  </r>
  <r>
    <n v="86"/>
    <n v="95"/>
    <n v="6683"/>
    <n v="3"/>
    <n v="8"/>
    <n v="38"/>
    <n v="0"/>
    <x v="0"/>
  </r>
  <r>
    <n v="87"/>
    <n v="1348"/>
    <n v="7212"/>
    <n v="5"/>
    <n v="10"/>
    <n v="30"/>
    <n v="0"/>
    <x v="0"/>
  </r>
  <r>
    <n v="88"/>
    <n v="178"/>
    <n v="10411"/>
    <n v="3"/>
    <n v="10"/>
    <n v="50"/>
    <n v="0"/>
    <x v="1"/>
  </r>
  <r>
    <n v="89"/>
    <n v="-695"/>
    <n v="8850"/>
    <n v="2"/>
    <n v="8"/>
    <n v="33"/>
    <n v="0"/>
    <x v="0"/>
  </r>
  <r>
    <n v="90"/>
    <n v="787"/>
    <n v="8334"/>
    <n v="4"/>
    <n v="9"/>
    <n v="35"/>
    <n v="0"/>
    <x v="0"/>
  </r>
  <r>
    <n v="91"/>
    <n v="4642"/>
    <n v="13923"/>
    <n v="3"/>
    <n v="16"/>
    <n v="36"/>
    <n v="0"/>
    <x v="1"/>
  </r>
  <r>
    <n v="92"/>
    <n v="1260"/>
    <n v="6214"/>
    <n v="4"/>
    <n v="12"/>
    <n v="33"/>
    <n v="0"/>
    <x v="0"/>
  </r>
  <r>
    <n v="93"/>
    <n v="2687"/>
    <n v="12323"/>
    <n v="6"/>
    <n v="20"/>
    <n v="38"/>
    <n v="0"/>
    <x v="1"/>
  </r>
  <r>
    <n v="94"/>
    <n v="720"/>
    <n v="14963"/>
    <n v="4"/>
    <n v="12"/>
    <n v="46"/>
    <n v="0"/>
    <x v="1"/>
  </r>
  <r>
    <n v="95"/>
    <n v="5109"/>
    <n v="10060"/>
    <n v="4"/>
    <n v="16"/>
    <n v="50"/>
    <n v="0"/>
    <x v="1"/>
  </r>
  <r>
    <n v="96"/>
    <n v="1800"/>
    <n v="32080"/>
    <n v="2"/>
    <n v="16"/>
    <n v="54"/>
    <n v="0"/>
    <x v="3"/>
  </r>
  <r>
    <n v="97"/>
    <n v="1684"/>
    <n v="9260"/>
    <n v="5"/>
    <n v="12"/>
    <n v="31"/>
    <n v="0"/>
    <x v="0"/>
  </r>
  <r>
    <n v="98"/>
    <n v="1475"/>
    <n v="10450"/>
    <n v="2"/>
    <n v="18"/>
    <n v="27"/>
    <n v="0"/>
    <x v="1"/>
  </r>
  <r>
    <n v="99"/>
    <n v="566"/>
    <n v="9138"/>
    <n v="5"/>
    <n v="12"/>
    <n v="40"/>
    <n v="0"/>
    <x v="0"/>
  </r>
  <r>
    <n v="100"/>
    <n v="25405"/>
    <n v="12350"/>
    <n v="6"/>
    <n v="18"/>
    <n v="34"/>
    <n v="0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n v="30"/>
    <n v="1920"/>
    <x v="0"/>
    <x v="0"/>
    <n v="40"/>
    <x v="0"/>
    <x v="0"/>
    <x v="0"/>
  </r>
  <r>
    <n v="2"/>
    <n v="874"/>
    <n v="12403"/>
    <x v="0"/>
    <x v="1"/>
    <n v="33"/>
    <x v="1"/>
    <x v="1"/>
    <x v="0"/>
  </r>
  <r>
    <n v="3"/>
    <n v="370"/>
    <n v="6396"/>
    <x v="1"/>
    <x v="2"/>
    <n v="31"/>
    <x v="1"/>
    <x v="0"/>
    <x v="0"/>
  </r>
  <r>
    <n v="4"/>
    <n v="1200"/>
    <n v="7005"/>
    <x v="2"/>
    <x v="1"/>
    <n v="50"/>
    <x v="1"/>
    <x v="0"/>
    <x v="1"/>
  </r>
  <r>
    <n v="5"/>
    <n v="275"/>
    <n v="6990"/>
    <x v="0"/>
    <x v="3"/>
    <n v="28"/>
    <x v="1"/>
    <x v="0"/>
    <x v="2"/>
  </r>
  <r>
    <n v="6"/>
    <n v="1400"/>
    <n v="6500"/>
    <x v="0"/>
    <x v="4"/>
    <n v="33"/>
    <x v="1"/>
    <x v="0"/>
    <x v="0"/>
  </r>
  <r>
    <n v="7"/>
    <n v="3159"/>
    <n v="26007"/>
    <x v="3"/>
    <x v="2"/>
    <n v="36"/>
    <x v="1"/>
    <x v="2"/>
    <x v="0"/>
  </r>
  <r>
    <n v="8"/>
    <n v="1766"/>
    <n v="15363"/>
    <x v="3"/>
    <x v="5"/>
    <n v="44"/>
    <x v="1"/>
    <x v="1"/>
    <x v="1"/>
  </r>
  <r>
    <n v="9"/>
    <n v="3984"/>
    <n v="14999"/>
    <x v="3"/>
    <x v="1"/>
    <n v="48"/>
    <x v="0"/>
    <x v="1"/>
    <x v="1"/>
  </r>
  <r>
    <n v="10"/>
    <n v="1017"/>
    <n v="9185"/>
    <x v="3"/>
    <x v="5"/>
    <n v="31"/>
    <x v="1"/>
    <x v="0"/>
    <x v="0"/>
  </r>
  <r>
    <n v="11"/>
    <n v="1004"/>
    <n v="10600"/>
    <x v="4"/>
    <x v="1"/>
    <n v="41"/>
    <x v="1"/>
    <x v="1"/>
    <x v="1"/>
  </r>
  <r>
    <n v="12"/>
    <n v="687"/>
    <n v="12089"/>
    <x v="0"/>
    <x v="6"/>
    <n v="41"/>
    <x v="1"/>
    <x v="1"/>
    <x v="1"/>
  </r>
  <r>
    <n v="13"/>
    <n v="-34"/>
    <n v="6254"/>
    <x v="5"/>
    <x v="7"/>
    <n v="36"/>
    <x v="1"/>
    <x v="0"/>
    <x v="0"/>
  </r>
  <r>
    <n v="14"/>
    <n v="-1389"/>
    <n v="9010"/>
    <x v="3"/>
    <x v="8"/>
    <n v="31"/>
    <x v="1"/>
    <x v="0"/>
    <x v="0"/>
  </r>
  <r>
    <n v="15"/>
    <n v="1000"/>
    <n v="6217"/>
    <x v="3"/>
    <x v="9"/>
    <n v="27"/>
    <x v="1"/>
    <x v="0"/>
    <x v="2"/>
  </r>
  <r>
    <n v="16"/>
    <n v="1831"/>
    <n v="5912"/>
    <x v="3"/>
    <x v="10"/>
    <n v="42"/>
    <x v="1"/>
    <x v="0"/>
    <x v="1"/>
  </r>
  <r>
    <n v="17"/>
    <n v="613"/>
    <n v="4800"/>
    <x v="0"/>
    <x v="3"/>
    <n v="28"/>
    <x v="1"/>
    <x v="0"/>
    <x v="2"/>
  </r>
  <r>
    <n v="18"/>
    <n v="50"/>
    <n v="2340"/>
    <x v="1"/>
    <x v="11"/>
    <n v="46"/>
    <x v="0"/>
    <x v="0"/>
    <x v="1"/>
  </r>
  <r>
    <n v="19"/>
    <n v="13"/>
    <n v="7832"/>
    <x v="2"/>
    <x v="3"/>
    <n v="47"/>
    <x v="1"/>
    <x v="0"/>
    <x v="1"/>
  </r>
  <r>
    <n v="20"/>
    <n v="1389"/>
    <n v="9563"/>
    <x v="5"/>
    <x v="10"/>
    <n v="35"/>
    <x v="1"/>
    <x v="0"/>
    <x v="0"/>
  </r>
  <r>
    <n v="21"/>
    <n v="602"/>
    <n v="7600"/>
    <x v="2"/>
    <x v="1"/>
    <n v="41"/>
    <x v="1"/>
    <x v="0"/>
    <x v="1"/>
  </r>
  <r>
    <n v="22"/>
    <n v="2221"/>
    <n v="13858"/>
    <x v="0"/>
    <x v="2"/>
    <n v="30"/>
    <x v="1"/>
    <x v="1"/>
    <x v="2"/>
  </r>
  <r>
    <n v="23"/>
    <n v="1588"/>
    <n v="5802"/>
    <x v="6"/>
    <x v="3"/>
    <n v="38"/>
    <x v="1"/>
    <x v="0"/>
    <x v="0"/>
  </r>
  <r>
    <n v="24"/>
    <n v="5082"/>
    <n v="19362"/>
    <x v="2"/>
    <x v="7"/>
    <n v="48"/>
    <x v="1"/>
    <x v="1"/>
    <x v="1"/>
  </r>
  <r>
    <n v="25"/>
    <n v="1846"/>
    <n v="8000"/>
    <x v="2"/>
    <x v="6"/>
    <n v="36"/>
    <x v="1"/>
    <x v="0"/>
    <x v="0"/>
  </r>
  <r>
    <n v="26"/>
    <n v="914"/>
    <n v="17200"/>
    <x v="2"/>
    <x v="3"/>
    <n v="45"/>
    <x v="1"/>
    <x v="1"/>
    <x v="1"/>
  </r>
  <r>
    <n v="27"/>
    <n v="2483"/>
    <n v="4091"/>
    <x v="6"/>
    <x v="10"/>
    <n v="44"/>
    <x v="1"/>
    <x v="0"/>
    <x v="1"/>
  </r>
  <r>
    <n v="28"/>
    <n v="837"/>
    <n v="9600"/>
    <x v="0"/>
    <x v="6"/>
    <n v="44"/>
    <x v="1"/>
    <x v="0"/>
    <x v="1"/>
  </r>
  <r>
    <n v="29"/>
    <n v="1274"/>
    <n v="10425"/>
    <x v="2"/>
    <x v="12"/>
    <n v="46"/>
    <x v="1"/>
    <x v="1"/>
    <x v="1"/>
  </r>
  <r>
    <n v="30"/>
    <n v="-275"/>
    <n v="6512"/>
    <x v="0"/>
    <x v="3"/>
    <n v="26"/>
    <x v="1"/>
    <x v="0"/>
    <x v="2"/>
  </r>
  <r>
    <n v="31"/>
    <n v="1092"/>
    <n v="7675"/>
    <x v="3"/>
    <x v="3"/>
    <n v="50"/>
    <x v="1"/>
    <x v="0"/>
    <x v="1"/>
  </r>
  <r>
    <n v="32"/>
    <n v="1157"/>
    <n v="12418"/>
    <x v="0"/>
    <x v="10"/>
    <n v="46"/>
    <x v="1"/>
    <x v="1"/>
    <x v="1"/>
  </r>
  <r>
    <n v="33"/>
    <n v="340"/>
    <n v="6079"/>
    <x v="3"/>
    <x v="10"/>
    <n v="33"/>
    <x v="1"/>
    <x v="0"/>
    <x v="0"/>
  </r>
  <r>
    <n v="34"/>
    <n v="373"/>
    <n v="6979"/>
    <x v="0"/>
    <x v="3"/>
    <n v="41"/>
    <x v="1"/>
    <x v="0"/>
    <x v="1"/>
  </r>
  <r>
    <n v="35"/>
    <n v="3307"/>
    <n v="10517"/>
    <x v="3"/>
    <x v="2"/>
    <n v="33"/>
    <x v="1"/>
    <x v="1"/>
    <x v="0"/>
  </r>
  <r>
    <n v="36"/>
    <n v="10668"/>
    <n v="30996"/>
    <x v="0"/>
    <x v="3"/>
    <n v="41"/>
    <x v="1"/>
    <x v="3"/>
    <x v="1"/>
  </r>
  <r>
    <n v="37"/>
    <n v="1105"/>
    <n v="5283"/>
    <x v="2"/>
    <x v="3"/>
    <n v="29"/>
    <x v="0"/>
    <x v="0"/>
    <x v="2"/>
  </r>
  <r>
    <n v="38"/>
    <n v="3500"/>
    <n v="8511"/>
    <x v="7"/>
    <x v="7"/>
    <n v="27"/>
    <x v="1"/>
    <x v="0"/>
    <x v="2"/>
  </r>
  <r>
    <n v="39"/>
    <n v="541"/>
    <n v="12700"/>
    <x v="3"/>
    <x v="3"/>
    <n v="42"/>
    <x v="1"/>
    <x v="1"/>
    <x v="1"/>
  </r>
  <r>
    <n v="40"/>
    <n v="3020"/>
    <n v="16770"/>
    <x v="3"/>
    <x v="5"/>
    <n v="39"/>
    <x v="1"/>
    <x v="1"/>
    <x v="0"/>
  </r>
  <r>
    <n v="41"/>
    <n v="650"/>
    <n v="8300"/>
    <x v="6"/>
    <x v="3"/>
    <n v="36"/>
    <x v="1"/>
    <x v="0"/>
    <x v="0"/>
  </r>
  <r>
    <n v="42"/>
    <n v="989"/>
    <n v="5375"/>
    <x v="0"/>
    <x v="10"/>
    <n v="34"/>
    <x v="1"/>
    <x v="0"/>
    <x v="0"/>
  </r>
  <r>
    <n v="43"/>
    <n v="2532"/>
    <n v="6265"/>
    <x v="0"/>
    <x v="3"/>
    <n v="40"/>
    <x v="1"/>
    <x v="0"/>
    <x v="0"/>
  </r>
  <r>
    <n v="44"/>
    <n v="6120"/>
    <n v="8520"/>
    <x v="0"/>
    <x v="3"/>
    <n v="37"/>
    <x v="1"/>
    <x v="0"/>
    <x v="0"/>
  </r>
  <r>
    <n v="45"/>
    <n v="-2749"/>
    <n v="24226"/>
    <x v="3"/>
    <x v="2"/>
    <n v="44"/>
    <x v="1"/>
    <x v="2"/>
    <x v="1"/>
  </r>
  <r>
    <n v="46"/>
    <n v="0"/>
    <n v="750"/>
    <x v="1"/>
    <x v="13"/>
    <n v="49"/>
    <x v="1"/>
    <x v="0"/>
    <x v="1"/>
  </r>
  <r>
    <n v="47"/>
    <n v="-1036"/>
    <n v="7356"/>
    <x v="3"/>
    <x v="3"/>
    <n v="33"/>
    <x v="1"/>
    <x v="0"/>
    <x v="0"/>
  </r>
  <r>
    <n v="48"/>
    <n v="1351"/>
    <n v="9000"/>
    <x v="6"/>
    <x v="8"/>
    <n v="36"/>
    <x v="1"/>
    <x v="0"/>
    <x v="0"/>
  </r>
  <r>
    <n v="49"/>
    <n v="-1150"/>
    <n v="14660"/>
    <x v="0"/>
    <x v="14"/>
    <n v="51"/>
    <x v="1"/>
    <x v="1"/>
    <x v="1"/>
  </r>
  <r>
    <n v="50"/>
    <n v="-248"/>
    <n v="5593"/>
    <x v="3"/>
    <x v="3"/>
    <n v="37"/>
    <x v="1"/>
    <x v="0"/>
    <x v="0"/>
  </r>
  <r>
    <n v="51"/>
    <n v="388"/>
    <n v="11841"/>
    <x v="0"/>
    <x v="15"/>
    <n v="33"/>
    <x v="1"/>
    <x v="1"/>
    <x v="0"/>
  </r>
  <r>
    <n v="52"/>
    <n v="1157"/>
    <n v="7700"/>
    <x v="0"/>
    <x v="8"/>
    <n v="39"/>
    <x v="1"/>
    <x v="0"/>
    <x v="0"/>
  </r>
  <r>
    <n v="53"/>
    <n v="1656"/>
    <n v="10550"/>
    <x v="2"/>
    <x v="3"/>
    <n v="44"/>
    <x v="1"/>
    <x v="1"/>
    <x v="1"/>
  </r>
  <r>
    <n v="54"/>
    <n v="3959"/>
    <n v="13700"/>
    <x v="0"/>
    <x v="9"/>
    <n v="50"/>
    <x v="1"/>
    <x v="1"/>
    <x v="1"/>
  </r>
  <r>
    <n v="55"/>
    <n v="5369"/>
    <n v="12242"/>
    <x v="0"/>
    <x v="3"/>
    <n v="39"/>
    <x v="1"/>
    <x v="1"/>
    <x v="0"/>
  </r>
  <r>
    <n v="56"/>
    <n v="1405"/>
    <n v="7803"/>
    <x v="6"/>
    <x v="9"/>
    <n v="46"/>
    <x v="1"/>
    <x v="0"/>
    <x v="1"/>
  </r>
  <r>
    <n v="57"/>
    <n v="220"/>
    <n v="9879"/>
    <x v="0"/>
    <x v="3"/>
    <n v="43"/>
    <x v="1"/>
    <x v="0"/>
    <x v="1"/>
  </r>
  <r>
    <n v="58"/>
    <n v="-298"/>
    <n v="9154"/>
    <x v="6"/>
    <x v="7"/>
    <n v="40"/>
    <x v="0"/>
    <x v="0"/>
    <x v="0"/>
  </r>
  <r>
    <n v="59"/>
    <n v="-276"/>
    <n v="7067"/>
    <x v="1"/>
    <x v="1"/>
    <n v="40"/>
    <x v="1"/>
    <x v="0"/>
    <x v="0"/>
  </r>
  <r>
    <n v="60"/>
    <n v="-578"/>
    <n v="4496"/>
    <x v="8"/>
    <x v="9"/>
    <n v="39"/>
    <x v="1"/>
    <x v="0"/>
    <x v="0"/>
  </r>
  <r>
    <n v="61"/>
    <n v="-1360"/>
    <n v="4636"/>
    <x v="6"/>
    <x v="6"/>
    <n v="34"/>
    <x v="0"/>
    <x v="0"/>
    <x v="0"/>
  </r>
  <r>
    <n v="62"/>
    <n v="5277"/>
    <n v="9003"/>
    <x v="0"/>
    <x v="6"/>
    <n v="32"/>
    <x v="0"/>
    <x v="0"/>
    <x v="0"/>
  </r>
  <r>
    <n v="63"/>
    <n v="980"/>
    <n v="13820"/>
    <x v="2"/>
    <x v="5"/>
    <n v="42"/>
    <x v="1"/>
    <x v="1"/>
    <x v="1"/>
  </r>
  <r>
    <n v="64"/>
    <n v="2637"/>
    <n v="8891"/>
    <x v="1"/>
    <x v="10"/>
    <n v="52"/>
    <x v="1"/>
    <x v="0"/>
    <x v="1"/>
  </r>
  <r>
    <n v="65"/>
    <n v="984"/>
    <n v="8632"/>
    <x v="6"/>
    <x v="3"/>
    <n v="29"/>
    <x v="1"/>
    <x v="0"/>
    <x v="2"/>
  </r>
  <r>
    <n v="66"/>
    <n v="-76"/>
    <n v="8385"/>
    <x v="1"/>
    <x v="3"/>
    <n v="27"/>
    <x v="1"/>
    <x v="0"/>
    <x v="2"/>
  </r>
  <r>
    <n v="67"/>
    <n v="902"/>
    <n v="5403"/>
    <x v="3"/>
    <x v="6"/>
    <n v="37"/>
    <x v="1"/>
    <x v="0"/>
    <x v="0"/>
  </r>
  <r>
    <n v="68"/>
    <n v="10733"/>
    <n v="8573"/>
    <x v="1"/>
    <x v="3"/>
    <n v="52"/>
    <x v="1"/>
    <x v="0"/>
    <x v="1"/>
  </r>
  <r>
    <n v="69"/>
    <n v="716"/>
    <n v="6516"/>
    <x v="2"/>
    <x v="3"/>
    <n v="32"/>
    <x v="1"/>
    <x v="0"/>
    <x v="0"/>
  </r>
  <r>
    <n v="70"/>
    <n v="200"/>
    <n v="6000"/>
    <x v="0"/>
    <x v="3"/>
    <n v="35"/>
    <x v="1"/>
    <x v="0"/>
    <x v="0"/>
  </r>
  <r>
    <n v="71"/>
    <n v="6"/>
    <n v="16778"/>
    <x v="2"/>
    <x v="4"/>
    <n v="31"/>
    <x v="1"/>
    <x v="1"/>
    <x v="0"/>
  </r>
  <r>
    <n v="72"/>
    <n v="1464"/>
    <n v="9504"/>
    <x v="3"/>
    <x v="1"/>
    <n v="36"/>
    <x v="1"/>
    <x v="0"/>
    <x v="0"/>
  </r>
  <r>
    <n v="73"/>
    <n v="948"/>
    <n v="8953"/>
    <x v="6"/>
    <x v="5"/>
    <n v="34"/>
    <x v="1"/>
    <x v="0"/>
    <x v="0"/>
  </r>
  <r>
    <n v="74"/>
    <n v="835"/>
    <n v="8703"/>
    <x v="2"/>
    <x v="3"/>
    <n v="54"/>
    <x v="1"/>
    <x v="0"/>
    <x v="1"/>
  </r>
  <r>
    <n v="75"/>
    <n v="-2883"/>
    <n v="12667"/>
    <x v="0"/>
    <x v="3"/>
    <n v="52"/>
    <x v="1"/>
    <x v="1"/>
    <x v="1"/>
  </r>
  <r>
    <n v="76"/>
    <n v="298"/>
    <n v="6504"/>
    <x v="6"/>
    <x v="1"/>
    <n v="28"/>
    <x v="1"/>
    <x v="0"/>
    <x v="2"/>
  </r>
  <r>
    <n v="77"/>
    <n v="481"/>
    <n v="8180"/>
    <x v="6"/>
    <x v="3"/>
    <n v="44"/>
    <x v="1"/>
    <x v="0"/>
    <x v="1"/>
  </r>
  <r>
    <n v="78"/>
    <n v="5033"/>
    <n v="11600"/>
    <x v="0"/>
    <x v="2"/>
    <n v="29"/>
    <x v="1"/>
    <x v="1"/>
    <x v="2"/>
  </r>
  <r>
    <n v="79"/>
    <n v="-111"/>
    <n v="5602"/>
    <x v="0"/>
    <x v="1"/>
    <n v="50"/>
    <x v="1"/>
    <x v="0"/>
    <x v="1"/>
  </r>
  <r>
    <n v="80"/>
    <n v="0"/>
    <n v="10390"/>
    <x v="0"/>
    <x v="10"/>
    <n v="50"/>
    <x v="1"/>
    <x v="1"/>
    <x v="1"/>
  </r>
  <r>
    <n v="81"/>
    <n v="4115"/>
    <n v="30610"/>
    <x v="0"/>
    <x v="5"/>
    <n v="44"/>
    <x v="1"/>
    <x v="3"/>
    <x v="1"/>
  </r>
  <r>
    <n v="82"/>
    <n v="2575"/>
    <n v="3941"/>
    <x v="0"/>
    <x v="1"/>
    <n v="34"/>
    <x v="1"/>
    <x v="0"/>
    <x v="0"/>
  </r>
  <r>
    <n v="83"/>
    <n v="-112"/>
    <n v="2936"/>
    <x v="5"/>
    <x v="6"/>
    <n v="39"/>
    <x v="1"/>
    <x v="0"/>
    <x v="0"/>
  </r>
  <r>
    <n v="84"/>
    <n v="-5577"/>
    <n v="11068"/>
    <x v="3"/>
    <x v="3"/>
    <n v="39"/>
    <x v="1"/>
    <x v="1"/>
    <x v="0"/>
  </r>
  <r>
    <n v="85"/>
    <n v="2750"/>
    <n v="8338"/>
    <x v="0"/>
    <x v="8"/>
    <n v="29"/>
    <x v="1"/>
    <x v="0"/>
    <x v="2"/>
  </r>
  <r>
    <n v="86"/>
    <n v="95"/>
    <n v="6683"/>
    <x v="2"/>
    <x v="10"/>
    <n v="38"/>
    <x v="1"/>
    <x v="0"/>
    <x v="0"/>
  </r>
  <r>
    <n v="87"/>
    <n v="1348"/>
    <n v="7212"/>
    <x v="3"/>
    <x v="6"/>
    <n v="30"/>
    <x v="1"/>
    <x v="0"/>
    <x v="2"/>
  </r>
  <r>
    <n v="88"/>
    <n v="178"/>
    <n v="10411"/>
    <x v="2"/>
    <x v="6"/>
    <n v="50"/>
    <x v="1"/>
    <x v="1"/>
    <x v="1"/>
  </r>
  <r>
    <n v="89"/>
    <n v="-695"/>
    <n v="8850"/>
    <x v="1"/>
    <x v="10"/>
    <n v="33"/>
    <x v="1"/>
    <x v="0"/>
    <x v="0"/>
  </r>
  <r>
    <n v="90"/>
    <n v="787"/>
    <n v="8334"/>
    <x v="0"/>
    <x v="1"/>
    <n v="35"/>
    <x v="1"/>
    <x v="0"/>
    <x v="0"/>
  </r>
  <r>
    <n v="91"/>
    <n v="4642"/>
    <n v="13923"/>
    <x v="2"/>
    <x v="5"/>
    <n v="36"/>
    <x v="1"/>
    <x v="1"/>
    <x v="0"/>
  </r>
  <r>
    <n v="92"/>
    <n v="1260"/>
    <n v="6214"/>
    <x v="0"/>
    <x v="3"/>
    <n v="33"/>
    <x v="1"/>
    <x v="0"/>
    <x v="0"/>
  </r>
  <r>
    <n v="93"/>
    <n v="2687"/>
    <n v="12323"/>
    <x v="6"/>
    <x v="16"/>
    <n v="38"/>
    <x v="1"/>
    <x v="1"/>
    <x v="0"/>
  </r>
  <r>
    <n v="94"/>
    <n v="720"/>
    <n v="14963"/>
    <x v="0"/>
    <x v="3"/>
    <n v="46"/>
    <x v="1"/>
    <x v="1"/>
    <x v="1"/>
  </r>
  <r>
    <n v="95"/>
    <n v="5109"/>
    <n v="10060"/>
    <x v="0"/>
    <x v="5"/>
    <n v="50"/>
    <x v="1"/>
    <x v="1"/>
    <x v="1"/>
  </r>
  <r>
    <n v="96"/>
    <n v="1800"/>
    <n v="32080"/>
    <x v="1"/>
    <x v="5"/>
    <n v="54"/>
    <x v="1"/>
    <x v="3"/>
    <x v="1"/>
  </r>
  <r>
    <n v="97"/>
    <n v="1684"/>
    <n v="9260"/>
    <x v="3"/>
    <x v="3"/>
    <n v="31"/>
    <x v="1"/>
    <x v="0"/>
    <x v="0"/>
  </r>
  <r>
    <n v="98"/>
    <n v="1475"/>
    <n v="10450"/>
    <x v="1"/>
    <x v="17"/>
    <n v="27"/>
    <x v="1"/>
    <x v="1"/>
    <x v="2"/>
  </r>
  <r>
    <n v="99"/>
    <n v="566"/>
    <n v="9138"/>
    <x v="3"/>
    <x v="3"/>
    <n v="40"/>
    <x v="1"/>
    <x v="0"/>
    <x v="0"/>
  </r>
  <r>
    <n v="100"/>
    <n v="25405"/>
    <n v="12350"/>
    <x v="6"/>
    <x v="17"/>
    <n v="34"/>
    <x v="1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4DCE89-36B7-4815-A4F2-CB0786E0D17E}" name="PivotTable4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B8" firstHeaderRow="1" firstDataRow="1" firstDataCol="1"/>
  <pivotFields count="8"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5">
        <item x="0"/>
        <item x="1"/>
        <item x="2"/>
        <item x="3"/>
        <item t="default"/>
      </items>
    </pivotField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vings" fld="1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1192AB-42BB-4470-914F-4AAFD1CE39BF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3:B22" firstHeaderRow="1" firstDataRow="1" firstDataCol="1"/>
  <pivotFields count="7">
    <pivotField showAll="0"/>
    <pivotField dataField="1" showAll="0"/>
    <pivotField showAll="0"/>
    <pivotField showAll="0"/>
    <pivotField axis="axisRow" showAll="0">
      <items count="19">
        <item x="0"/>
        <item x="12"/>
        <item x="13"/>
        <item x="11"/>
        <item x="9"/>
        <item x="10"/>
        <item x="1"/>
        <item x="6"/>
        <item x="7"/>
        <item x="3"/>
        <item x="4"/>
        <item x="8"/>
        <item x="14"/>
        <item x="5"/>
        <item x="2"/>
        <item x="17"/>
        <item x="15"/>
        <item x="16"/>
        <item t="default"/>
      </items>
    </pivotField>
    <pivotField showAll="0"/>
    <pivotField showAll="0"/>
  </pivotFields>
  <rowFields count="1">
    <field x="4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Sum of Savings" fld="1" baseField="0" baseItem="0"/>
  </dataFields>
  <chartFormats count="1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90106C-0717-418A-93FA-BF6E1D681234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B13" firstHeaderRow="1" firstDataRow="1" firstDataCol="1"/>
  <pivotFields count="7">
    <pivotField showAll="0"/>
    <pivotField dataField="1" showAll="0"/>
    <pivotField showAll="0"/>
    <pivotField axis="axisRow" showAll="0">
      <items count="10">
        <item x="1"/>
        <item x="2"/>
        <item x="0"/>
        <item x="3"/>
        <item x="6"/>
        <item x="5"/>
        <item x="8"/>
        <item x="7"/>
        <item x="4"/>
        <item t="default"/>
      </items>
    </pivotField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Savings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30D866-F981-4337-AE16-2151417569EA}" name="PivotTable5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B7" firstHeaderRow="1" firstDataRow="1" firstDataCol="1"/>
  <pivotFields count="9"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2"/>
        <item x="0"/>
        <item x="1"/>
        <item t="default"/>
      </items>
    </pivotField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vings" fld="1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AC7849-8C3D-4E97-8B35-DEFC1D759EB5}" name="PivotTable6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C6" firstHeaderRow="0" firstDataRow="1" firstDataCol="1"/>
  <pivotFields count="9">
    <pivotField showAll="0"/>
    <pivotField dataField="1"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</pivotFields>
  <rowFields count="1">
    <field x="6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vings" fld="1" baseField="0" baseItem="0"/>
    <dataField name="Average of Savings2" fld="1" subtotal="average" baseField="6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9F1D88-1510-456F-B4D8-8B9BDEA48D56}" name="PivotTable7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B22" firstHeaderRow="1" firstDataRow="1" firstDataCol="1"/>
  <pivotFields count="9">
    <pivotField showAll="0"/>
    <pivotField showAll="0"/>
    <pivotField dataField="1" showAll="0"/>
    <pivotField showAll="0"/>
    <pivotField axis="axisRow" showAll="0">
      <items count="19">
        <item x="0"/>
        <item x="12"/>
        <item x="13"/>
        <item x="11"/>
        <item x="9"/>
        <item x="10"/>
        <item x="1"/>
        <item x="6"/>
        <item x="7"/>
        <item x="3"/>
        <item x="4"/>
        <item x="8"/>
        <item x="14"/>
        <item x="5"/>
        <item x="2"/>
        <item x="17"/>
        <item x="15"/>
        <item x="16"/>
        <item t="default"/>
      </items>
    </pivotField>
    <pivotField showAll="0"/>
    <pivotField showAll="0"/>
    <pivotField showAll="0"/>
    <pivotField showAll="0"/>
  </pivotFields>
  <rowFields count="1">
    <field x="4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Sum of Income" fld="2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29AB60-B99D-4437-B4BA-9DE91DD3841D}" name="PivotTable8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B13" firstHeaderRow="1" firstDataRow="1" firstDataCol="1"/>
  <pivotFields count="9">
    <pivotField showAll="0"/>
    <pivotField dataField="1" showAll="0"/>
    <pivotField showAll="0"/>
    <pivotField axis="axisRow" showAll="0">
      <items count="10">
        <item x="1"/>
        <item x="2"/>
        <item x="0"/>
        <item x="3"/>
        <item x="6"/>
        <item x="5"/>
        <item x="8"/>
        <item x="7"/>
        <item x="4"/>
        <item t="default"/>
      </items>
    </pivotField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Savings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E7519A-AA68-49E0-99FF-98FFCFEBBE37}" name="PivotTable10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T7" firstHeaderRow="1" firstDataRow="2" firstDataCol="1"/>
  <pivotFields count="9">
    <pivotField showAll="0"/>
    <pivotField dataField="1" showAll="0"/>
    <pivotField showAll="0"/>
    <pivotField showAll="0"/>
    <pivotField axis="axisCol" showAll="0">
      <items count="19">
        <item x="0"/>
        <item x="12"/>
        <item x="13"/>
        <item x="11"/>
        <item x="9"/>
        <item x="10"/>
        <item x="1"/>
        <item x="6"/>
        <item x="7"/>
        <item x="3"/>
        <item x="4"/>
        <item x="8"/>
        <item x="14"/>
        <item x="5"/>
        <item x="2"/>
        <item x="17"/>
        <item x="15"/>
        <item x="16"/>
        <item t="default"/>
      </items>
    </pivotField>
    <pivotField showAll="0"/>
    <pivotField axis="axisRow" showAll="0">
      <items count="3">
        <item x="1"/>
        <item x="0"/>
        <item t="default"/>
      </items>
    </pivotField>
    <pivotField showAll="0"/>
    <pivotField showAll="0"/>
  </pivotFields>
  <rowFields count="1">
    <field x="6"/>
  </rowFields>
  <rowItems count="3">
    <i>
      <x/>
    </i>
    <i>
      <x v="1"/>
    </i>
    <i t="grand">
      <x/>
    </i>
  </rowItems>
  <colFields count="1">
    <field x="4"/>
  </colFields>
  <col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colItems>
  <dataFields count="1">
    <dataField name="Average of Savings" fld="1" subtotal="average" baseField="6" baseItem="0"/>
  </dataFields>
  <chartFormats count="1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6AAAC8-36A1-4E39-9EA6-62B969112005}" name="PivotTable1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B8" firstHeaderRow="1" firstDataRow="1" firstDataCol="1"/>
  <pivotFields count="9">
    <pivotField showAll="0"/>
    <pivotField dataField="1" showAll="0"/>
    <pivotField showAll="0"/>
    <pivotField showAll="0"/>
    <pivotField showAll="0"/>
    <pivotField showAll="0"/>
    <pivotField showAll="0"/>
    <pivotField axis="axisRow" showAll="0" sortType="ascending">
      <items count="5">
        <item x="0"/>
        <item x="1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7"/>
  </rowFields>
  <rowItems count="5">
    <i>
      <x v="2"/>
    </i>
    <i>
      <x v="3"/>
    </i>
    <i>
      <x/>
    </i>
    <i>
      <x v="1"/>
    </i>
    <i t="grand">
      <x/>
    </i>
  </rowItems>
  <colItems count="1">
    <i/>
  </colItems>
  <dataFields count="1">
    <dataField name="Sum of Savings" fld="1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616795-1F4F-4ECB-8E3A-0BA5837D5358}" name="PivotTable12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D8" firstHeaderRow="1" firstDataRow="2" firstDataCol="1"/>
  <pivotFields count="9">
    <pivotField showAll="0"/>
    <pivotField dataField="1" showAll="0"/>
    <pivotField showAll="0"/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axis="axisRow" showAll="0">
      <items count="4">
        <item x="2"/>
        <item x="0"/>
        <item x="1"/>
        <item t="default"/>
      </items>
    </pivotField>
  </pivotFields>
  <rowFields count="1">
    <field x="8"/>
  </rowFields>
  <rowItems count="4">
    <i>
      <x/>
    </i>
    <i>
      <x v="1"/>
    </i>
    <i>
      <x v="2"/>
    </i>
    <i t="grand">
      <x/>
    </i>
  </rowItems>
  <colFields count="1">
    <field x="6"/>
  </colFields>
  <colItems count="3">
    <i>
      <x/>
    </i>
    <i>
      <x v="1"/>
    </i>
    <i t="grand">
      <x/>
    </i>
  </colItems>
  <dataFields count="1">
    <dataField name="Average of Savings" fld="1" subtotal="average" baseField="8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6D2F1-5E10-4236-873A-66D31B9155C4}">
  <sheetPr codeName="Sheet1"/>
  <dimension ref="A1:H103"/>
  <sheetViews>
    <sheetView tabSelected="1" zoomScale="91" workbookViewId="0">
      <selection activeCell="Q14" sqref="Q14"/>
    </sheetView>
  </sheetViews>
  <sheetFormatPr defaultRowHeight="14.4" x14ac:dyDescent="0.3"/>
  <cols>
    <col min="1" max="1" width="6.88671875" bestFit="1" customWidth="1"/>
    <col min="2" max="2" width="7.109375" bestFit="1" customWidth="1"/>
    <col min="3" max="3" width="9.77734375" bestFit="1" customWidth="1"/>
    <col min="4" max="4" width="31.21875" bestFit="1" customWidth="1"/>
    <col min="5" max="5" width="20.21875" bestFit="1" customWidth="1"/>
    <col min="6" max="6" width="5" bestFit="1" customWidth="1"/>
    <col min="7" max="7" width="14.6640625" bestFit="1" customWidth="1"/>
    <col min="8" max="8" width="10.2187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17</v>
      </c>
      <c r="G1" s="1" t="s">
        <v>8</v>
      </c>
      <c r="H1" s="1" t="s">
        <v>13</v>
      </c>
    </row>
    <row r="2" spans="1:8" x14ac:dyDescent="0.3">
      <c r="A2">
        <v>30</v>
      </c>
      <c r="B2">
        <v>1920</v>
      </c>
      <c r="C2">
        <v>4</v>
      </c>
      <c r="D2">
        <v>2</v>
      </c>
      <c r="E2">
        <v>40</v>
      </c>
      <c r="F2">
        <v>1</v>
      </c>
      <c r="G2" s="8" t="str">
        <f>IF(B2&lt;10000, "&lt;10k", IF(B2&lt;=20000, "10k-20k", IF(B2&lt;=30000, "20k-30k", "30k+")))</f>
        <v>&lt;10k</v>
      </c>
      <c r="H2" t="str">
        <f>IF(E2&lt;20, "&lt;20", IF(E2&lt;=30, "20-30", IF(E2&lt;=40, "30-40", "40+")))</f>
        <v>30-40</v>
      </c>
    </row>
    <row r="3" spans="1:8" x14ac:dyDescent="0.3">
      <c r="A3">
        <v>874</v>
      </c>
      <c r="B3">
        <v>12403</v>
      </c>
      <c r="C3">
        <v>4</v>
      </c>
      <c r="D3">
        <v>9</v>
      </c>
      <c r="E3">
        <v>33</v>
      </c>
      <c r="F3">
        <v>0</v>
      </c>
      <c r="G3" s="8" t="str">
        <f t="shared" ref="G3:G66" si="0">IF(B3&lt;10000, "&lt;10k", IF(B3&lt;=20000, "10k-20k", IF(B3&lt;=30000, "20k-30k", "30k+")))</f>
        <v>10k-20k</v>
      </c>
      <c r="H3" t="str">
        <f t="shared" ref="H3:H66" si="1">IF(E3&lt;20, "&lt;20", IF(E3&lt;=30, "20-30", IF(E3&lt;=40, "30-40", "40+")))</f>
        <v>30-40</v>
      </c>
    </row>
    <row r="4" spans="1:8" x14ac:dyDescent="0.3">
      <c r="A4">
        <v>370</v>
      </c>
      <c r="B4">
        <v>6396</v>
      </c>
      <c r="C4">
        <v>2</v>
      </c>
      <c r="D4">
        <v>17</v>
      </c>
      <c r="E4">
        <v>31</v>
      </c>
      <c r="F4">
        <v>0</v>
      </c>
      <c r="G4" s="8" t="str">
        <f t="shared" si="0"/>
        <v>&lt;10k</v>
      </c>
      <c r="H4" t="str">
        <f t="shared" si="1"/>
        <v>30-40</v>
      </c>
    </row>
    <row r="5" spans="1:8" x14ac:dyDescent="0.3">
      <c r="A5">
        <v>1200</v>
      </c>
      <c r="B5">
        <v>7005</v>
      </c>
      <c r="C5">
        <v>3</v>
      </c>
      <c r="D5">
        <v>9</v>
      </c>
      <c r="E5">
        <v>50</v>
      </c>
      <c r="F5">
        <v>0</v>
      </c>
      <c r="G5" s="8" t="str">
        <f t="shared" si="0"/>
        <v>&lt;10k</v>
      </c>
      <c r="H5" t="str">
        <f t="shared" si="1"/>
        <v>40+</v>
      </c>
    </row>
    <row r="6" spans="1:8" x14ac:dyDescent="0.3">
      <c r="A6">
        <v>275</v>
      </c>
      <c r="B6">
        <v>6990</v>
      </c>
      <c r="C6">
        <v>4</v>
      </c>
      <c r="D6">
        <v>12</v>
      </c>
      <c r="E6">
        <v>28</v>
      </c>
      <c r="F6">
        <v>0</v>
      </c>
      <c r="G6" s="8" t="str">
        <f t="shared" si="0"/>
        <v>&lt;10k</v>
      </c>
      <c r="H6" t="str">
        <f t="shared" si="1"/>
        <v>20-30</v>
      </c>
    </row>
    <row r="7" spans="1:8" x14ac:dyDescent="0.3">
      <c r="A7">
        <v>1400</v>
      </c>
      <c r="B7">
        <v>6500</v>
      </c>
      <c r="C7">
        <v>4</v>
      </c>
      <c r="D7">
        <v>13</v>
      </c>
      <c r="E7">
        <v>33</v>
      </c>
      <c r="F7">
        <v>0</v>
      </c>
      <c r="G7" s="8" t="str">
        <f t="shared" si="0"/>
        <v>&lt;10k</v>
      </c>
      <c r="H7" t="str">
        <f t="shared" si="1"/>
        <v>30-40</v>
      </c>
    </row>
    <row r="8" spans="1:8" x14ac:dyDescent="0.3">
      <c r="A8">
        <v>3159</v>
      </c>
      <c r="B8">
        <v>26007</v>
      </c>
      <c r="C8">
        <v>5</v>
      </c>
      <c r="D8">
        <v>17</v>
      </c>
      <c r="E8">
        <v>36</v>
      </c>
      <c r="F8">
        <v>0</v>
      </c>
      <c r="G8" s="8" t="str">
        <f t="shared" si="0"/>
        <v>20k-30k</v>
      </c>
      <c r="H8" t="str">
        <f t="shared" si="1"/>
        <v>30-40</v>
      </c>
    </row>
    <row r="9" spans="1:8" x14ac:dyDescent="0.3">
      <c r="A9">
        <v>1766</v>
      </c>
      <c r="B9">
        <v>15363</v>
      </c>
      <c r="C9">
        <v>5</v>
      </c>
      <c r="D9">
        <v>16</v>
      </c>
      <c r="E9">
        <v>44</v>
      </c>
      <c r="F9">
        <v>0</v>
      </c>
      <c r="G9" s="8" t="str">
        <f t="shared" si="0"/>
        <v>10k-20k</v>
      </c>
      <c r="H9" t="str">
        <f t="shared" si="1"/>
        <v>40+</v>
      </c>
    </row>
    <row r="10" spans="1:8" x14ac:dyDescent="0.3">
      <c r="A10">
        <v>3984</v>
      </c>
      <c r="B10">
        <v>14999</v>
      </c>
      <c r="C10">
        <v>5</v>
      </c>
      <c r="D10">
        <v>9</v>
      </c>
      <c r="E10">
        <v>48</v>
      </c>
      <c r="F10">
        <v>1</v>
      </c>
      <c r="G10" s="8" t="str">
        <f t="shared" si="0"/>
        <v>10k-20k</v>
      </c>
      <c r="H10" t="str">
        <f t="shared" si="1"/>
        <v>40+</v>
      </c>
    </row>
    <row r="11" spans="1:8" x14ac:dyDescent="0.3">
      <c r="A11">
        <v>1017</v>
      </c>
      <c r="B11">
        <v>9185</v>
      </c>
      <c r="C11">
        <v>5</v>
      </c>
      <c r="D11">
        <v>16</v>
      </c>
      <c r="E11">
        <v>31</v>
      </c>
      <c r="F11">
        <v>0</v>
      </c>
      <c r="G11" s="8" t="str">
        <f t="shared" si="0"/>
        <v>&lt;10k</v>
      </c>
      <c r="H11" t="str">
        <f t="shared" si="1"/>
        <v>30-40</v>
      </c>
    </row>
    <row r="12" spans="1:8" x14ac:dyDescent="0.3">
      <c r="A12">
        <v>1004</v>
      </c>
      <c r="B12">
        <v>10600</v>
      </c>
      <c r="C12">
        <v>10</v>
      </c>
      <c r="D12">
        <v>9</v>
      </c>
      <c r="E12">
        <v>41</v>
      </c>
      <c r="F12">
        <v>0</v>
      </c>
      <c r="G12" s="8" t="str">
        <f t="shared" si="0"/>
        <v>10k-20k</v>
      </c>
      <c r="H12" t="str">
        <f t="shared" si="1"/>
        <v>40+</v>
      </c>
    </row>
    <row r="13" spans="1:8" x14ac:dyDescent="0.3">
      <c r="A13">
        <v>687</v>
      </c>
      <c r="B13">
        <v>12089</v>
      </c>
      <c r="C13">
        <v>4</v>
      </c>
      <c r="D13">
        <v>10</v>
      </c>
      <c r="E13">
        <v>41</v>
      </c>
      <c r="F13">
        <v>0</v>
      </c>
      <c r="G13" s="8" t="str">
        <f t="shared" si="0"/>
        <v>10k-20k</v>
      </c>
      <c r="H13" t="str">
        <f t="shared" si="1"/>
        <v>40+</v>
      </c>
    </row>
    <row r="14" spans="1:8" x14ac:dyDescent="0.3">
      <c r="A14">
        <v>-34</v>
      </c>
      <c r="B14">
        <v>6254</v>
      </c>
      <c r="C14">
        <v>7</v>
      </c>
      <c r="D14">
        <v>11</v>
      </c>
      <c r="E14">
        <v>36</v>
      </c>
      <c r="F14">
        <v>0</v>
      </c>
      <c r="G14" s="8" t="str">
        <f t="shared" si="0"/>
        <v>&lt;10k</v>
      </c>
      <c r="H14" t="str">
        <f t="shared" si="1"/>
        <v>30-40</v>
      </c>
    </row>
    <row r="15" spans="1:8" x14ac:dyDescent="0.3">
      <c r="A15">
        <v>-1389</v>
      </c>
      <c r="B15">
        <v>9010</v>
      </c>
      <c r="C15">
        <v>5</v>
      </c>
      <c r="D15">
        <v>14</v>
      </c>
      <c r="E15">
        <v>31</v>
      </c>
      <c r="F15">
        <v>0</v>
      </c>
      <c r="G15" s="8" t="str">
        <f t="shared" si="0"/>
        <v>&lt;10k</v>
      </c>
      <c r="H15" t="str">
        <f t="shared" si="1"/>
        <v>30-40</v>
      </c>
    </row>
    <row r="16" spans="1:8" x14ac:dyDescent="0.3">
      <c r="A16">
        <v>1000</v>
      </c>
      <c r="B16">
        <v>6217</v>
      </c>
      <c r="C16">
        <v>5</v>
      </c>
      <c r="D16">
        <v>7</v>
      </c>
      <c r="E16">
        <v>27</v>
      </c>
      <c r="F16">
        <v>0</v>
      </c>
      <c r="G16" s="8" t="str">
        <f t="shared" si="0"/>
        <v>&lt;10k</v>
      </c>
      <c r="H16" t="str">
        <f t="shared" si="1"/>
        <v>20-30</v>
      </c>
    </row>
    <row r="17" spans="1:8" x14ac:dyDescent="0.3">
      <c r="A17">
        <v>1831</v>
      </c>
      <c r="B17">
        <v>5912</v>
      </c>
      <c r="C17">
        <v>5</v>
      </c>
      <c r="D17">
        <v>8</v>
      </c>
      <c r="E17">
        <v>42</v>
      </c>
      <c r="F17">
        <v>0</v>
      </c>
      <c r="G17" s="8" t="str">
        <f t="shared" si="0"/>
        <v>&lt;10k</v>
      </c>
      <c r="H17" t="str">
        <f t="shared" si="1"/>
        <v>40+</v>
      </c>
    </row>
    <row r="18" spans="1:8" x14ac:dyDescent="0.3">
      <c r="A18">
        <v>613</v>
      </c>
      <c r="B18">
        <v>4800</v>
      </c>
      <c r="C18">
        <v>4</v>
      </c>
      <c r="D18">
        <v>12</v>
      </c>
      <c r="E18">
        <v>28</v>
      </c>
      <c r="F18">
        <v>0</v>
      </c>
      <c r="G18" s="8" t="str">
        <f t="shared" si="0"/>
        <v>&lt;10k</v>
      </c>
      <c r="H18" t="str">
        <f t="shared" si="1"/>
        <v>20-30</v>
      </c>
    </row>
    <row r="19" spans="1:8" x14ac:dyDescent="0.3">
      <c r="A19">
        <v>50</v>
      </c>
      <c r="B19">
        <v>2340</v>
      </c>
      <c r="C19">
        <v>2</v>
      </c>
      <c r="D19">
        <v>6</v>
      </c>
      <c r="E19">
        <v>46</v>
      </c>
      <c r="F19">
        <v>1</v>
      </c>
      <c r="G19" s="8" t="str">
        <f t="shared" si="0"/>
        <v>&lt;10k</v>
      </c>
      <c r="H19" t="str">
        <f t="shared" si="1"/>
        <v>40+</v>
      </c>
    </row>
    <row r="20" spans="1:8" x14ac:dyDescent="0.3">
      <c r="A20">
        <v>13</v>
      </c>
      <c r="B20">
        <v>7832</v>
      </c>
      <c r="C20">
        <v>3</v>
      </c>
      <c r="D20">
        <v>12</v>
      </c>
      <c r="E20">
        <v>47</v>
      </c>
      <c r="F20">
        <v>0</v>
      </c>
      <c r="G20" s="8" t="str">
        <f t="shared" si="0"/>
        <v>&lt;10k</v>
      </c>
      <c r="H20" t="str">
        <f t="shared" si="1"/>
        <v>40+</v>
      </c>
    </row>
    <row r="21" spans="1:8" x14ac:dyDescent="0.3">
      <c r="A21">
        <v>1389</v>
      </c>
      <c r="B21">
        <v>9563</v>
      </c>
      <c r="C21">
        <v>7</v>
      </c>
      <c r="D21">
        <v>8</v>
      </c>
      <c r="E21">
        <v>35</v>
      </c>
      <c r="F21">
        <v>0</v>
      </c>
      <c r="G21" s="8" t="str">
        <f t="shared" si="0"/>
        <v>&lt;10k</v>
      </c>
      <c r="H21" t="str">
        <f t="shared" si="1"/>
        <v>30-40</v>
      </c>
    </row>
    <row r="22" spans="1:8" x14ac:dyDescent="0.3">
      <c r="A22">
        <v>602</v>
      </c>
      <c r="B22">
        <v>7600</v>
      </c>
      <c r="C22">
        <v>3</v>
      </c>
      <c r="D22">
        <v>9</v>
      </c>
      <c r="E22">
        <v>41</v>
      </c>
      <c r="F22">
        <v>0</v>
      </c>
      <c r="G22" s="8" t="str">
        <f t="shared" si="0"/>
        <v>&lt;10k</v>
      </c>
      <c r="H22" t="str">
        <f t="shared" si="1"/>
        <v>40+</v>
      </c>
    </row>
    <row r="23" spans="1:8" x14ac:dyDescent="0.3">
      <c r="A23">
        <v>2221</v>
      </c>
      <c r="B23">
        <v>13858</v>
      </c>
      <c r="C23">
        <v>4</v>
      </c>
      <c r="D23">
        <v>17</v>
      </c>
      <c r="E23">
        <v>30</v>
      </c>
      <c r="F23">
        <v>0</v>
      </c>
      <c r="G23" s="8" t="str">
        <f t="shared" si="0"/>
        <v>10k-20k</v>
      </c>
      <c r="H23" t="str">
        <f t="shared" si="1"/>
        <v>20-30</v>
      </c>
    </row>
    <row r="24" spans="1:8" x14ac:dyDescent="0.3">
      <c r="A24">
        <v>1588</v>
      </c>
      <c r="B24">
        <v>5802</v>
      </c>
      <c r="C24">
        <v>6</v>
      </c>
      <c r="D24">
        <v>12</v>
      </c>
      <c r="E24">
        <v>38</v>
      </c>
      <c r="F24">
        <v>0</v>
      </c>
      <c r="G24" s="8" t="str">
        <f t="shared" si="0"/>
        <v>&lt;10k</v>
      </c>
      <c r="H24" t="str">
        <f t="shared" si="1"/>
        <v>30-40</v>
      </c>
    </row>
    <row r="25" spans="1:8" x14ac:dyDescent="0.3">
      <c r="A25">
        <v>5082</v>
      </c>
      <c r="B25">
        <v>19362</v>
      </c>
      <c r="C25">
        <v>3</v>
      </c>
      <c r="D25">
        <v>11</v>
      </c>
      <c r="E25">
        <v>48</v>
      </c>
      <c r="F25">
        <v>0</v>
      </c>
      <c r="G25" s="8" t="str">
        <f t="shared" si="0"/>
        <v>10k-20k</v>
      </c>
      <c r="H25" t="str">
        <f t="shared" si="1"/>
        <v>40+</v>
      </c>
    </row>
    <row r="26" spans="1:8" x14ac:dyDescent="0.3">
      <c r="A26">
        <v>1846</v>
      </c>
      <c r="B26">
        <v>8000</v>
      </c>
      <c r="C26">
        <v>3</v>
      </c>
      <c r="D26">
        <v>10</v>
      </c>
      <c r="E26">
        <v>36</v>
      </c>
      <c r="F26">
        <v>0</v>
      </c>
      <c r="G26" s="8" t="str">
        <f t="shared" si="0"/>
        <v>&lt;10k</v>
      </c>
      <c r="H26" t="str">
        <f t="shared" si="1"/>
        <v>30-40</v>
      </c>
    </row>
    <row r="27" spans="1:8" x14ac:dyDescent="0.3">
      <c r="A27">
        <v>914</v>
      </c>
      <c r="B27">
        <v>17200</v>
      </c>
      <c r="C27">
        <v>3</v>
      </c>
      <c r="D27">
        <v>12</v>
      </c>
      <c r="E27">
        <v>45</v>
      </c>
      <c r="F27">
        <v>0</v>
      </c>
      <c r="G27" s="8" t="str">
        <f t="shared" si="0"/>
        <v>10k-20k</v>
      </c>
      <c r="H27" t="str">
        <f t="shared" si="1"/>
        <v>40+</v>
      </c>
    </row>
    <row r="28" spans="1:8" x14ac:dyDescent="0.3">
      <c r="A28">
        <v>2483</v>
      </c>
      <c r="B28">
        <v>4091</v>
      </c>
      <c r="C28">
        <v>6</v>
      </c>
      <c r="D28">
        <v>8</v>
      </c>
      <c r="E28">
        <v>44</v>
      </c>
      <c r="F28">
        <v>0</v>
      </c>
      <c r="G28" s="8" t="str">
        <f t="shared" si="0"/>
        <v>&lt;10k</v>
      </c>
      <c r="H28" t="str">
        <f t="shared" si="1"/>
        <v>40+</v>
      </c>
    </row>
    <row r="29" spans="1:8" x14ac:dyDescent="0.3">
      <c r="A29">
        <v>837</v>
      </c>
      <c r="B29">
        <v>9600</v>
      </c>
      <c r="C29">
        <v>4</v>
      </c>
      <c r="D29">
        <v>10</v>
      </c>
      <c r="E29">
        <v>44</v>
      </c>
      <c r="F29">
        <v>0</v>
      </c>
      <c r="G29" s="8" t="str">
        <f t="shared" si="0"/>
        <v>&lt;10k</v>
      </c>
      <c r="H29" t="str">
        <f t="shared" si="1"/>
        <v>40+</v>
      </c>
    </row>
    <row r="30" spans="1:8" x14ac:dyDescent="0.3">
      <c r="A30">
        <v>1274</v>
      </c>
      <c r="B30">
        <v>10425</v>
      </c>
      <c r="C30">
        <v>3</v>
      </c>
      <c r="D30">
        <v>3</v>
      </c>
      <c r="E30">
        <v>46</v>
      </c>
      <c r="F30">
        <v>0</v>
      </c>
      <c r="G30" s="8" t="str">
        <f t="shared" si="0"/>
        <v>10k-20k</v>
      </c>
      <c r="H30" t="str">
        <f t="shared" si="1"/>
        <v>40+</v>
      </c>
    </row>
    <row r="31" spans="1:8" x14ac:dyDescent="0.3">
      <c r="A31">
        <v>-275</v>
      </c>
      <c r="B31">
        <v>6512</v>
      </c>
      <c r="C31">
        <v>4</v>
      </c>
      <c r="D31">
        <v>12</v>
      </c>
      <c r="E31">
        <v>26</v>
      </c>
      <c r="F31">
        <v>0</v>
      </c>
      <c r="G31" s="8" t="str">
        <f t="shared" si="0"/>
        <v>&lt;10k</v>
      </c>
      <c r="H31" t="str">
        <f t="shared" si="1"/>
        <v>20-30</v>
      </c>
    </row>
    <row r="32" spans="1:8" x14ac:dyDescent="0.3">
      <c r="A32">
        <v>1092</v>
      </c>
      <c r="B32">
        <v>7675</v>
      </c>
      <c r="C32">
        <v>5</v>
      </c>
      <c r="D32">
        <v>12</v>
      </c>
      <c r="E32">
        <v>50</v>
      </c>
      <c r="F32">
        <v>0</v>
      </c>
      <c r="G32" s="8" t="str">
        <f t="shared" si="0"/>
        <v>&lt;10k</v>
      </c>
      <c r="H32" t="str">
        <f t="shared" si="1"/>
        <v>40+</v>
      </c>
    </row>
    <row r="33" spans="1:8" x14ac:dyDescent="0.3">
      <c r="A33">
        <v>1157</v>
      </c>
      <c r="B33">
        <v>12418</v>
      </c>
      <c r="C33">
        <v>4</v>
      </c>
      <c r="D33">
        <v>8</v>
      </c>
      <c r="E33">
        <v>46</v>
      </c>
      <c r="F33">
        <v>0</v>
      </c>
      <c r="G33" s="8" t="str">
        <f t="shared" si="0"/>
        <v>10k-20k</v>
      </c>
      <c r="H33" t="str">
        <f t="shared" si="1"/>
        <v>40+</v>
      </c>
    </row>
    <row r="34" spans="1:8" x14ac:dyDescent="0.3">
      <c r="A34">
        <v>340</v>
      </c>
      <c r="B34">
        <v>6079</v>
      </c>
      <c r="C34">
        <v>5</v>
      </c>
      <c r="D34">
        <v>8</v>
      </c>
      <c r="E34">
        <v>33</v>
      </c>
      <c r="F34">
        <v>0</v>
      </c>
      <c r="G34" s="8" t="str">
        <f t="shared" si="0"/>
        <v>&lt;10k</v>
      </c>
      <c r="H34" t="str">
        <f t="shared" si="1"/>
        <v>30-40</v>
      </c>
    </row>
    <row r="35" spans="1:8" x14ac:dyDescent="0.3">
      <c r="A35">
        <v>373</v>
      </c>
      <c r="B35">
        <v>6979</v>
      </c>
      <c r="C35">
        <v>4</v>
      </c>
      <c r="D35">
        <v>12</v>
      </c>
      <c r="E35">
        <v>41</v>
      </c>
      <c r="F35">
        <v>0</v>
      </c>
      <c r="G35" s="8" t="str">
        <f t="shared" si="0"/>
        <v>&lt;10k</v>
      </c>
      <c r="H35" t="str">
        <f t="shared" si="1"/>
        <v>40+</v>
      </c>
    </row>
    <row r="36" spans="1:8" x14ac:dyDescent="0.3">
      <c r="A36">
        <v>3307</v>
      </c>
      <c r="B36">
        <v>10517</v>
      </c>
      <c r="C36">
        <v>5</v>
      </c>
      <c r="D36">
        <v>17</v>
      </c>
      <c r="E36">
        <v>33</v>
      </c>
      <c r="F36">
        <v>0</v>
      </c>
      <c r="G36" s="8" t="str">
        <f t="shared" si="0"/>
        <v>10k-20k</v>
      </c>
      <c r="H36" t="str">
        <f t="shared" si="1"/>
        <v>30-40</v>
      </c>
    </row>
    <row r="37" spans="1:8" x14ac:dyDescent="0.3">
      <c r="A37">
        <v>10668</v>
      </c>
      <c r="B37">
        <v>30996</v>
      </c>
      <c r="C37">
        <v>4</v>
      </c>
      <c r="D37">
        <v>12</v>
      </c>
      <c r="E37">
        <v>41</v>
      </c>
      <c r="F37">
        <v>0</v>
      </c>
      <c r="G37" s="8" t="str">
        <f t="shared" si="0"/>
        <v>30k+</v>
      </c>
      <c r="H37" t="str">
        <f t="shared" si="1"/>
        <v>40+</v>
      </c>
    </row>
    <row r="38" spans="1:8" x14ac:dyDescent="0.3">
      <c r="A38">
        <v>1105</v>
      </c>
      <c r="B38">
        <v>5283</v>
      </c>
      <c r="C38">
        <v>3</v>
      </c>
      <c r="D38">
        <v>12</v>
      </c>
      <c r="E38">
        <v>29</v>
      </c>
      <c r="F38">
        <v>1</v>
      </c>
      <c r="G38" s="8" t="str">
        <f t="shared" si="0"/>
        <v>&lt;10k</v>
      </c>
      <c r="H38" t="str">
        <f t="shared" si="1"/>
        <v>20-30</v>
      </c>
    </row>
    <row r="39" spans="1:8" x14ac:dyDescent="0.3">
      <c r="A39">
        <v>3500</v>
      </c>
      <c r="B39">
        <v>8511</v>
      </c>
      <c r="C39">
        <v>9</v>
      </c>
      <c r="D39">
        <v>11</v>
      </c>
      <c r="E39">
        <v>27</v>
      </c>
      <c r="F39">
        <v>0</v>
      </c>
      <c r="G39" s="8" t="str">
        <f t="shared" si="0"/>
        <v>&lt;10k</v>
      </c>
      <c r="H39" t="str">
        <f t="shared" si="1"/>
        <v>20-30</v>
      </c>
    </row>
    <row r="40" spans="1:8" x14ac:dyDescent="0.3">
      <c r="A40">
        <v>541</v>
      </c>
      <c r="B40">
        <v>12700</v>
      </c>
      <c r="C40">
        <v>5</v>
      </c>
      <c r="D40">
        <v>12</v>
      </c>
      <c r="E40">
        <v>42</v>
      </c>
      <c r="F40">
        <v>0</v>
      </c>
      <c r="G40" s="8" t="str">
        <f t="shared" si="0"/>
        <v>10k-20k</v>
      </c>
      <c r="H40" t="str">
        <f t="shared" si="1"/>
        <v>40+</v>
      </c>
    </row>
    <row r="41" spans="1:8" x14ac:dyDescent="0.3">
      <c r="A41">
        <v>3020</v>
      </c>
      <c r="B41">
        <v>16770</v>
      </c>
      <c r="C41">
        <v>5</v>
      </c>
      <c r="D41">
        <v>16</v>
      </c>
      <c r="E41">
        <v>39</v>
      </c>
      <c r="F41">
        <v>0</v>
      </c>
      <c r="G41" s="8" t="str">
        <f t="shared" si="0"/>
        <v>10k-20k</v>
      </c>
      <c r="H41" t="str">
        <f t="shared" si="1"/>
        <v>30-40</v>
      </c>
    </row>
    <row r="42" spans="1:8" x14ac:dyDescent="0.3">
      <c r="A42">
        <v>650</v>
      </c>
      <c r="B42">
        <v>8300</v>
      </c>
      <c r="C42">
        <v>6</v>
      </c>
      <c r="D42">
        <v>12</v>
      </c>
      <c r="E42">
        <v>36</v>
      </c>
      <c r="F42">
        <v>0</v>
      </c>
      <c r="G42" s="8" t="str">
        <f t="shared" si="0"/>
        <v>&lt;10k</v>
      </c>
      <c r="H42" t="str">
        <f t="shared" si="1"/>
        <v>30-40</v>
      </c>
    </row>
    <row r="43" spans="1:8" x14ac:dyDescent="0.3">
      <c r="A43">
        <v>989</v>
      </c>
      <c r="B43">
        <v>5375</v>
      </c>
      <c r="C43">
        <v>4</v>
      </c>
      <c r="D43">
        <v>8</v>
      </c>
      <c r="E43">
        <v>34</v>
      </c>
      <c r="F43">
        <v>0</v>
      </c>
      <c r="G43" s="8" t="str">
        <f t="shared" si="0"/>
        <v>&lt;10k</v>
      </c>
      <c r="H43" t="str">
        <f t="shared" si="1"/>
        <v>30-40</v>
      </c>
    </row>
    <row r="44" spans="1:8" x14ac:dyDescent="0.3">
      <c r="A44">
        <v>2532</v>
      </c>
      <c r="B44">
        <v>6265</v>
      </c>
      <c r="C44">
        <v>4</v>
      </c>
      <c r="D44">
        <v>12</v>
      </c>
      <c r="E44">
        <v>40</v>
      </c>
      <c r="F44">
        <v>0</v>
      </c>
      <c r="G44" s="8" t="str">
        <f t="shared" si="0"/>
        <v>&lt;10k</v>
      </c>
      <c r="H44" t="str">
        <f t="shared" si="1"/>
        <v>30-40</v>
      </c>
    </row>
    <row r="45" spans="1:8" x14ac:dyDescent="0.3">
      <c r="A45">
        <v>6120</v>
      </c>
      <c r="B45">
        <v>8520</v>
      </c>
      <c r="C45">
        <v>4</v>
      </c>
      <c r="D45">
        <v>12</v>
      </c>
      <c r="E45">
        <v>37</v>
      </c>
      <c r="F45">
        <v>0</v>
      </c>
      <c r="G45" s="8" t="str">
        <f t="shared" si="0"/>
        <v>&lt;10k</v>
      </c>
      <c r="H45" t="str">
        <f t="shared" si="1"/>
        <v>30-40</v>
      </c>
    </row>
    <row r="46" spans="1:8" x14ac:dyDescent="0.3">
      <c r="A46">
        <v>-2749</v>
      </c>
      <c r="B46">
        <v>24226</v>
      </c>
      <c r="C46">
        <v>5</v>
      </c>
      <c r="D46">
        <v>17</v>
      </c>
      <c r="E46">
        <v>44</v>
      </c>
      <c r="F46">
        <v>0</v>
      </c>
      <c r="G46" s="8" t="str">
        <f t="shared" si="0"/>
        <v>20k-30k</v>
      </c>
      <c r="H46" t="str">
        <f t="shared" si="1"/>
        <v>40+</v>
      </c>
    </row>
    <row r="47" spans="1:8" x14ac:dyDescent="0.3">
      <c r="A47">
        <v>0</v>
      </c>
      <c r="B47">
        <v>750</v>
      </c>
      <c r="C47">
        <v>2</v>
      </c>
      <c r="D47">
        <v>4</v>
      </c>
      <c r="E47">
        <v>49</v>
      </c>
      <c r="F47">
        <v>0</v>
      </c>
      <c r="G47" s="8" t="str">
        <f t="shared" si="0"/>
        <v>&lt;10k</v>
      </c>
      <c r="H47" t="str">
        <f t="shared" si="1"/>
        <v>40+</v>
      </c>
    </row>
    <row r="48" spans="1:8" x14ac:dyDescent="0.3">
      <c r="A48">
        <v>-1036</v>
      </c>
      <c r="B48">
        <v>7356</v>
      </c>
      <c r="C48">
        <v>5</v>
      </c>
      <c r="D48">
        <v>12</v>
      </c>
      <c r="E48">
        <v>33</v>
      </c>
      <c r="F48">
        <v>0</v>
      </c>
      <c r="G48" s="8" t="str">
        <f t="shared" si="0"/>
        <v>&lt;10k</v>
      </c>
      <c r="H48" t="str">
        <f t="shared" si="1"/>
        <v>30-40</v>
      </c>
    </row>
    <row r="49" spans="1:8" x14ac:dyDescent="0.3">
      <c r="A49">
        <v>1351</v>
      </c>
      <c r="B49">
        <v>9000</v>
      </c>
      <c r="C49">
        <v>6</v>
      </c>
      <c r="D49">
        <v>14</v>
      </c>
      <c r="E49">
        <v>36</v>
      </c>
      <c r="F49">
        <v>0</v>
      </c>
      <c r="G49" s="8" t="str">
        <f t="shared" si="0"/>
        <v>&lt;10k</v>
      </c>
      <c r="H49" t="str">
        <f t="shared" si="1"/>
        <v>30-40</v>
      </c>
    </row>
    <row r="50" spans="1:8" x14ac:dyDescent="0.3">
      <c r="A50">
        <v>-1150</v>
      </c>
      <c r="B50">
        <v>14660</v>
      </c>
      <c r="C50">
        <v>4</v>
      </c>
      <c r="D50">
        <v>15</v>
      </c>
      <c r="E50">
        <v>51</v>
      </c>
      <c r="F50">
        <v>0</v>
      </c>
      <c r="G50" s="8" t="str">
        <f t="shared" si="0"/>
        <v>10k-20k</v>
      </c>
      <c r="H50" t="str">
        <f t="shared" si="1"/>
        <v>40+</v>
      </c>
    </row>
    <row r="51" spans="1:8" x14ac:dyDescent="0.3">
      <c r="A51">
        <v>-248</v>
      </c>
      <c r="B51">
        <v>5593</v>
      </c>
      <c r="C51">
        <v>5</v>
      </c>
      <c r="D51">
        <v>12</v>
      </c>
      <c r="E51">
        <v>37</v>
      </c>
      <c r="F51">
        <v>0</v>
      </c>
      <c r="G51" s="8" t="str">
        <f t="shared" si="0"/>
        <v>&lt;10k</v>
      </c>
      <c r="H51" t="str">
        <f t="shared" si="1"/>
        <v>30-40</v>
      </c>
    </row>
    <row r="52" spans="1:8" x14ac:dyDescent="0.3">
      <c r="A52">
        <v>388</v>
      </c>
      <c r="B52">
        <v>11841</v>
      </c>
      <c r="C52">
        <v>4</v>
      </c>
      <c r="D52">
        <v>19</v>
      </c>
      <c r="E52">
        <v>33</v>
      </c>
      <c r="F52">
        <v>0</v>
      </c>
      <c r="G52" s="8" t="str">
        <f t="shared" si="0"/>
        <v>10k-20k</v>
      </c>
      <c r="H52" t="str">
        <f t="shared" si="1"/>
        <v>30-40</v>
      </c>
    </row>
    <row r="53" spans="1:8" x14ac:dyDescent="0.3">
      <c r="A53">
        <v>1157</v>
      </c>
      <c r="B53">
        <v>7700</v>
      </c>
      <c r="C53">
        <v>4</v>
      </c>
      <c r="D53">
        <v>14</v>
      </c>
      <c r="E53">
        <v>39</v>
      </c>
      <c r="F53">
        <v>0</v>
      </c>
      <c r="G53" s="8" t="str">
        <f t="shared" si="0"/>
        <v>&lt;10k</v>
      </c>
      <c r="H53" t="str">
        <f t="shared" si="1"/>
        <v>30-40</v>
      </c>
    </row>
    <row r="54" spans="1:8" x14ac:dyDescent="0.3">
      <c r="A54">
        <v>1656</v>
      </c>
      <c r="B54">
        <v>10550</v>
      </c>
      <c r="C54">
        <v>3</v>
      </c>
      <c r="D54">
        <v>12</v>
      </c>
      <c r="E54">
        <v>44</v>
      </c>
      <c r="F54">
        <v>0</v>
      </c>
      <c r="G54" s="8" t="str">
        <f t="shared" si="0"/>
        <v>10k-20k</v>
      </c>
      <c r="H54" t="str">
        <f t="shared" si="1"/>
        <v>40+</v>
      </c>
    </row>
    <row r="55" spans="1:8" x14ac:dyDescent="0.3">
      <c r="A55">
        <v>3959</v>
      </c>
      <c r="B55">
        <v>13700</v>
      </c>
      <c r="C55">
        <v>4</v>
      </c>
      <c r="D55">
        <v>7</v>
      </c>
      <c r="E55">
        <v>50</v>
      </c>
      <c r="F55">
        <v>0</v>
      </c>
      <c r="G55" s="8" t="str">
        <f t="shared" si="0"/>
        <v>10k-20k</v>
      </c>
      <c r="H55" t="str">
        <f t="shared" si="1"/>
        <v>40+</v>
      </c>
    </row>
    <row r="56" spans="1:8" x14ac:dyDescent="0.3">
      <c r="A56">
        <v>5369</v>
      </c>
      <c r="B56">
        <v>12242</v>
      </c>
      <c r="C56">
        <v>4</v>
      </c>
      <c r="D56">
        <v>12</v>
      </c>
      <c r="E56">
        <v>39</v>
      </c>
      <c r="F56">
        <v>0</v>
      </c>
      <c r="G56" s="8" t="str">
        <f t="shared" si="0"/>
        <v>10k-20k</v>
      </c>
      <c r="H56" t="str">
        <f t="shared" si="1"/>
        <v>30-40</v>
      </c>
    </row>
    <row r="57" spans="1:8" x14ac:dyDescent="0.3">
      <c r="A57">
        <v>1405</v>
      </c>
      <c r="B57">
        <v>7803</v>
      </c>
      <c r="C57">
        <v>6</v>
      </c>
      <c r="D57">
        <v>7</v>
      </c>
      <c r="E57">
        <v>46</v>
      </c>
      <c r="F57">
        <v>0</v>
      </c>
      <c r="G57" s="8" t="str">
        <f t="shared" si="0"/>
        <v>&lt;10k</v>
      </c>
      <c r="H57" t="str">
        <f t="shared" si="1"/>
        <v>40+</v>
      </c>
    </row>
    <row r="58" spans="1:8" x14ac:dyDescent="0.3">
      <c r="A58">
        <v>220</v>
      </c>
      <c r="B58">
        <v>9879</v>
      </c>
      <c r="C58">
        <v>4</v>
      </c>
      <c r="D58">
        <v>12</v>
      </c>
      <c r="E58">
        <v>43</v>
      </c>
      <c r="F58">
        <v>0</v>
      </c>
      <c r="G58" s="8" t="str">
        <f t="shared" si="0"/>
        <v>&lt;10k</v>
      </c>
      <c r="H58" t="str">
        <f t="shared" si="1"/>
        <v>40+</v>
      </c>
    </row>
    <row r="59" spans="1:8" x14ac:dyDescent="0.3">
      <c r="A59">
        <v>-298</v>
      </c>
      <c r="B59">
        <v>9154</v>
      </c>
      <c r="C59">
        <v>6</v>
      </c>
      <c r="D59">
        <v>11</v>
      </c>
      <c r="E59">
        <v>40</v>
      </c>
      <c r="F59">
        <v>1</v>
      </c>
      <c r="G59" s="8" t="str">
        <f t="shared" si="0"/>
        <v>&lt;10k</v>
      </c>
      <c r="H59" t="str">
        <f t="shared" si="1"/>
        <v>30-40</v>
      </c>
    </row>
    <row r="60" spans="1:8" x14ac:dyDescent="0.3">
      <c r="A60">
        <v>-276</v>
      </c>
      <c r="B60">
        <v>7067</v>
      </c>
      <c r="C60">
        <v>2</v>
      </c>
      <c r="D60">
        <v>9</v>
      </c>
      <c r="E60">
        <v>40</v>
      </c>
      <c r="F60">
        <v>0</v>
      </c>
      <c r="G60" s="8" t="str">
        <f t="shared" si="0"/>
        <v>&lt;10k</v>
      </c>
      <c r="H60" t="str">
        <f t="shared" si="1"/>
        <v>30-40</v>
      </c>
    </row>
    <row r="61" spans="1:8" x14ac:dyDescent="0.3">
      <c r="A61">
        <v>-578</v>
      </c>
      <c r="B61">
        <v>4496</v>
      </c>
      <c r="C61">
        <v>8</v>
      </c>
      <c r="D61">
        <v>7</v>
      </c>
      <c r="E61">
        <v>39</v>
      </c>
      <c r="F61">
        <v>0</v>
      </c>
      <c r="G61" s="8" t="str">
        <f t="shared" si="0"/>
        <v>&lt;10k</v>
      </c>
      <c r="H61" t="str">
        <f t="shared" si="1"/>
        <v>30-40</v>
      </c>
    </row>
    <row r="62" spans="1:8" x14ac:dyDescent="0.3">
      <c r="A62">
        <v>-1360</v>
      </c>
      <c r="B62">
        <v>4636</v>
      </c>
      <c r="C62">
        <v>6</v>
      </c>
      <c r="D62">
        <v>10</v>
      </c>
      <c r="E62">
        <v>34</v>
      </c>
      <c r="F62">
        <v>1</v>
      </c>
      <c r="G62" s="8" t="str">
        <f t="shared" si="0"/>
        <v>&lt;10k</v>
      </c>
      <c r="H62" t="str">
        <f t="shared" si="1"/>
        <v>30-40</v>
      </c>
    </row>
    <row r="63" spans="1:8" x14ac:dyDescent="0.3">
      <c r="A63">
        <v>5277</v>
      </c>
      <c r="B63">
        <v>9003</v>
      </c>
      <c r="C63">
        <v>4</v>
      </c>
      <c r="D63">
        <v>10</v>
      </c>
      <c r="E63">
        <v>32</v>
      </c>
      <c r="F63">
        <v>1</v>
      </c>
      <c r="G63" s="8" t="str">
        <f t="shared" si="0"/>
        <v>&lt;10k</v>
      </c>
      <c r="H63" t="str">
        <f t="shared" si="1"/>
        <v>30-40</v>
      </c>
    </row>
    <row r="64" spans="1:8" x14ac:dyDescent="0.3">
      <c r="A64">
        <v>980</v>
      </c>
      <c r="B64">
        <v>13820</v>
      </c>
      <c r="C64">
        <v>3</v>
      </c>
      <c r="D64">
        <v>16</v>
      </c>
      <c r="E64">
        <v>42</v>
      </c>
      <c r="F64">
        <v>0</v>
      </c>
      <c r="G64" s="8" t="str">
        <f t="shared" si="0"/>
        <v>10k-20k</v>
      </c>
      <c r="H64" t="str">
        <f t="shared" si="1"/>
        <v>40+</v>
      </c>
    </row>
    <row r="65" spans="1:8" x14ac:dyDescent="0.3">
      <c r="A65">
        <v>2637</v>
      </c>
      <c r="B65">
        <v>8891</v>
      </c>
      <c r="C65">
        <v>2</v>
      </c>
      <c r="D65">
        <v>8</v>
      </c>
      <c r="E65">
        <v>52</v>
      </c>
      <c r="F65">
        <v>0</v>
      </c>
      <c r="G65" s="8" t="str">
        <f t="shared" si="0"/>
        <v>&lt;10k</v>
      </c>
      <c r="H65" t="str">
        <f t="shared" si="1"/>
        <v>40+</v>
      </c>
    </row>
    <row r="66" spans="1:8" x14ac:dyDescent="0.3">
      <c r="A66">
        <v>984</v>
      </c>
      <c r="B66">
        <v>8632</v>
      </c>
      <c r="C66">
        <v>6</v>
      </c>
      <c r="D66">
        <v>12</v>
      </c>
      <c r="E66">
        <v>29</v>
      </c>
      <c r="F66">
        <v>0</v>
      </c>
      <c r="G66" s="8" t="str">
        <f t="shared" si="0"/>
        <v>&lt;10k</v>
      </c>
      <c r="H66" t="str">
        <f t="shared" si="1"/>
        <v>20-30</v>
      </c>
    </row>
    <row r="67" spans="1:8" x14ac:dyDescent="0.3">
      <c r="A67">
        <v>-76</v>
      </c>
      <c r="B67">
        <v>8385</v>
      </c>
      <c r="C67">
        <v>2</v>
      </c>
      <c r="D67">
        <v>12</v>
      </c>
      <c r="E67">
        <v>27</v>
      </c>
      <c r="F67">
        <v>0</v>
      </c>
      <c r="G67" s="8" t="str">
        <f t="shared" ref="G67:G101" si="2">IF(B67&lt;10000, "&lt;10k", IF(B67&lt;=20000, "10k-20k", IF(B67&lt;=30000, "20k-30k", "30k+")))</f>
        <v>&lt;10k</v>
      </c>
      <c r="H67" t="str">
        <f t="shared" ref="H67:H101" si="3">IF(E67&lt;20, "&lt;20", IF(E67&lt;=30, "20-30", IF(E67&lt;=40, "30-40", "40+")))</f>
        <v>20-30</v>
      </c>
    </row>
    <row r="68" spans="1:8" x14ac:dyDescent="0.3">
      <c r="A68">
        <v>902</v>
      </c>
      <c r="B68">
        <v>5403</v>
      </c>
      <c r="C68">
        <v>5</v>
      </c>
      <c r="D68">
        <v>10</v>
      </c>
      <c r="E68">
        <v>37</v>
      </c>
      <c r="F68">
        <v>0</v>
      </c>
      <c r="G68" s="8" t="str">
        <f t="shared" si="2"/>
        <v>&lt;10k</v>
      </c>
      <c r="H68" t="str">
        <f t="shared" si="3"/>
        <v>30-40</v>
      </c>
    </row>
    <row r="69" spans="1:8" x14ac:dyDescent="0.3">
      <c r="A69">
        <v>10733</v>
      </c>
      <c r="B69">
        <v>8573</v>
      </c>
      <c r="C69">
        <v>2</v>
      </c>
      <c r="D69">
        <v>12</v>
      </c>
      <c r="E69">
        <v>52</v>
      </c>
      <c r="F69">
        <v>0</v>
      </c>
      <c r="G69" s="8" t="str">
        <f t="shared" si="2"/>
        <v>&lt;10k</v>
      </c>
      <c r="H69" t="str">
        <f t="shared" si="3"/>
        <v>40+</v>
      </c>
    </row>
    <row r="70" spans="1:8" x14ac:dyDescent="0.3">
      <c r="A70">
        <v>716</v>
      </c>
      <c r="B70">
        <v>6516</v>
      </c>
      <c r="C70">
        <v>3</v>
      </c>
      <c r="D70">
        <v>12</v>
      </c>
      <c r="E70">
        <v>32</v>
      </c>
      <c r="F70">
        <v>0</v>
      </c>
      <c r="G70" s="8" t="str">
        <f t="shared" si="2"/>
        <v>&lt;10k</v>
      </c>
      <c r="H70" t="str">
        <f t="shared" si="3"/>
        <v>30-40</v>
      </c>
    </row>
    <row r="71" spans="1:8" x14ac:dyDescent="0.3">
      <c r="A71">
        <v>200</v>
      </c>
      <c r="B71">
        <v>6000</v>
      </c>
      <c r="C71">
        <v>4</v>
      </c>
      <c r="D71">
        <v>12</v>
      </c>
      <c r="E71">
        <v>35</v>
      </c>
      <c r="F71">
        <v>0</v>
      </c>
      <c r="G71" s="8" t="str">
        <f t="shared" si="2"/>
        <v>&lt;10k</v>
      </c>
      <c r="H71" t="str">
        <f t="shared" si="3"/>
        <v>30-40</v>
      </c>
    </row>
    <row r="72" spans="1:8" x14ac:dyDescent="0.3">
      <c r="A72">
        <v>6</v>
      </c>
      <c r="B72">
        <v>16778</v>
      </c>
      <c r="C72">
        <v>3</v>
      </c>
      <c r="D72">
        <v>13</v>
      </c>
      <c r="E72">
        <v>31</v>
      </c>
      <c r="F72">
        <v>0</v>
      </c>
      <c r="G72" s="8" t="str">
        <f t="shared" si="2"/>
        <v>10k-20k</v>
      </c>
      <c r="H72" t="str">
        <f t="shared" si="3"/>
        <v>30-40</v>
      </c>
    </row>
    <row r="73" spans="1:8" x14ac:dyDescent="0.3">
      <c r="A73">
        <v>1464</v>
      </c>
      <c r="B73">
        <v>9504</v>
      </c>
      <c r="C73">
        <v>5</v>
      </c>
      <c r="D73">
        <v>9</v>
      </c>
      <c r="E73">
        <v>36</v>
      </c>
      <c r="F73">
        <v>0</v>
      </c>
      <c r="G73" s="8" t="str">
        <f t="shared" si="2"/>
        <v>&lt;10k</v>
      </c>
      <c r="H73" t="str">
        <f t="shared" si="3"/>
        <v>30-40</v>
      </c>
    </row>
    <row r="74" spans="1:8" x14ac:dyDescent="0.3">
      <c r="A74">
        <v>948</v>
      </c>
      <c r="B74">
        <v>8953</v>
      </c>
      <c r="C74">
        <v>6</v>
      </c>
      <c r="D74">
        <v>16</v>
      </c>
      <c r="E74">
        <v>34</v>
      </c>
      <c r="F74">
        <v>0</v>
      </c>
      <c r="G74" s="8" t="str">
        <f t="shared" si="2"/>
        <v>&lt;10k</v>
      </c>
      <c r="H74" t="str">
        <f t="shared" si="3"/>
        <v>30-40</v>
      </c>
    </row>
    <row r="75" spans="1:8" x14ac:dyDescent="0.3">
      <c r="A75">
        <v>835</v>
      </c>
      <c r="B75">
        <v>8703</v>
      </c>
      <c r="C75">
        <v>3</v>
      </c>
      <c r="D75">
        <v>12</v>
      </c>
      <c r="E75">
        <v>54</v>
      </c>
      <c r="F75">
        <v>0</v>
      </c>
      <c r="G75" s="8" t="str">
        <f t="shared" si="2"/>
        <v>&lt;10k</v>
      </c>
      <c r="H75" t="str">
        <f t="shared" si="3"/>
        <v>40+</v>
      </c>
    </row>
    <row r="76" spans="1:8" x14ac:dyDescent="0.3">
      <c r="A76">
        <v>-2883</v>
      </c>
      <c r="B76">
        <v>12667</v>
      </c>
      <c r="C76">
        <v>4</v>
      </c>
      <c r="D76">
        <v>12</v>
      </c>
      <c r="E76">
        <v>52</v>
      </c>
      <c r="F76">
        <v>0</v>
      </c>
      <c r="G76" s="8" t="str">
        <f t="shared" si="2"/>
        <v>10k-20k</v>
      </c>
      <c r="H76" t="str">
        <f t="shared" si="3"/>
        <v>40+</v>
      </c>
    </row>
    <row r="77" spans="1:8" x14ac:dyDescent="0.3">
      <c r="A77">
        <v>298</v>
      </c>
      <c r="B77">
        <v>6504</v>
      </c>
      <c r="C77">
        <v>6</v>
      </c>
      <c r="D77">
        <v>9</v>
      </c>
      <c r="E77">
        <v>28</v>
      </c>
      <c r="F77">
        <v>0</v>
      </c>
      <c r="G77" s="8" t="str">
        <f t="shared" si="2"/>
        <v>&lt;10k</v>
      </c>
      <c r="H77" t="str">
        <f t="shared" si="3"/>
        <v>20-30</v>
      </c>
    </row>
    <row r="78" spans="1:8" x14ac:dyDescent="0.3">
      <c r="A78">
        <v>481</v>
      </c>
      <c r="B78">
        <v>8180</v>
      </c>
      <c r="C78">
        <v>6</v>
      </c>
      <c r="D78">
        <v>12</v>
      </c>
      <c r="E78">
        <v>44</v>
      </c>
      <c r="F78">
        <v>0</v>
      </c>
      <c r="G78" s="8" t="str">
        <f t="shared" si="2"/>
        <v>&lt;10k</v>
      </c>
      <c r="H78" t="str">
        <f t="shared" si="3"/>
        <v>40+</v>
      </c>
    </row>
    <row r="79" spans="1:8" x14ac:dyDescent="0.3">
      <c r="A79">
        <v>5033</v>
      </c>
      <c r="B79">
        <v>11600</v>
      </c>
      <c r="C79">
        <v>4</v>
      </c>
      <c r="D79">
        <v>17</v>
      </c>
      <c r="E79">
        <v>29</v>
      </c>
      <c r="F79">
        <v>0</v>
      </c>
      <c r="G79" s="8" t="str">
        <f t="shared" si="2"/>
        <v>10k-20k</v>
      </c>
      <c r="H79" t="str">
        <f t="shared" si="3"/>
        <v>20-30</v>
      </c>
    </row>
    <row r="80" spans="1:8" x14ac:dyDescent="0.3">
      <c r="A80">
        <v>-111</v>
      </c>
      <c r="B80">
        <v>5602</v>
      </c>
      <c r="C80">
        <v>4</v>
      </c>
      <c r="D80">
        <v>9</v>
      </c>
      <c r="E80">
        <v>50</v>
      </c>
      <c r="F80">
        <v>0</v>
      </c>
      <c r="G80" s="8" t="str">
        <f t="shared" si="2"/>
        <v>&lt;10k</v>
      </c>
      <c r="H80" t="str">
        <f t="shared" si="3"/>
        <v>40+</v>
      </c>
    </row>
    <row r="81" spans="1:8" x14ac:dyDescent="0.3">
      <c r="A81">
        <v>0</v>
      </c>
      <c r="B81">
        <v>10390</v>
      </c>
      <c r="C81">
        <v>4</v>
      </c>
      <c r="D81">
        <v>8</v>
      </c>
      <c r="E81">
        <v>50</v>
      </c>
      <c r="F81">
        <v>0</v>
      </c>
      <c r="G81" s="8" t="str">
        <f t="shared" si="2"/>
        <v>10k-20k</v>
      </c>
      <c r="H81" t="str">
        <f t="shared" si="3"/>
        <v>40+</v>
      </c>
    </row>
    <row r="82" spans="1:8" x14ac:dyDescent="0.3">
      <c r="A82">
        <v>4115</v>
      </c>
      <c r="B82">
        <v>30610</v>
      </c>
      <c r="C82">
        <v>4</v>
      </c>
      <c r="D82">
        <v>16</v>
      </c>
      <c r="E82">
        <v>44</v>
      </c>
      <c r="F82">
        <v>0</v>
      </c>
      <c r="G82" s="8" t="str">
        <f t="shared" si="2"/>
        <v>30k+</v>
      </c>
      <c r="H82" t="str">
        <f t="shared" si="3"/>
        <v>40+</v>
      </c>
    </row>
    <row r="83" spans="1:8" x14ac:dyDescent="0.3">
      <c r="A83">
        <v>2575</v>
      </c>
      <c r="B83">
        <v>3941</v>
      </c>
      <c r="C83">
        <v>4</v>
      </c>
      <c r="D83">
        <v>9</v>
      </c>
      <c r="E83">
        <v>34</v>
      </c>
      <c r="F83">
        <v>0</v>
      </c>
      <c r="G83" s="8" t="str">
        <f t="shared" si="2"/>
        <v>&lt;10k</v>
      </c>
      <c r="H83" t="str">
        <f t="shared" si="3"/>
        <v>30-40</v>
      </c>
    </row>
    <row r="84" spans="1:8" x14ac:dyDescent="0.3">
      <c r="A84">
        <v>-112</v>
      </c>
      <c r="B84">
        <v>2936</v>
      </c>
      <c r="C84">
        <v>7</v>
      </c>
      <c r="D84">
        <v>10</v>
      </c>
      <c r="E84">
        <v>39</v>
      </c>
      <c r="F84">
        <v>0</v>
      </c>
      <c r="G84" s="8" t="str">
        <f t="shared" si="2"/>
        <v>&lt;10k</v>
      </c>
      <c r="H84" t="str">
        <f t="shared" si="3"/>
        <v>30-40</v>
      </c>
    </row>
    <row r="85" spans="1:8" x14ac:dyDescent="0.3">
      <c r="A85">
        <v>-5577</v>
      </c>
      <c r="B85">
        <v>11068</v>
      </c>
      <c r="C85">
        <v>5</v>
      </c>
      <c r="D85">
        <v>12</v>
      </c>
      <c r="E85">
        <v>39</v>
      </c>
      <c r="F85">
        <v>0</v>
      </c>
      <c r="G85" s="8" t="str">
        <f t="shared" si="2"/>
        <v>10k-20k</v>
      </c>
      <c r="H85" t="str">
        <f t="shared" si="3"/>
        <v>30-40</v>
      </c>
    </row>
    <row r="86" spans="1:8" x14ac:dyDescent="0.3">
      <c r="A86">
        <v>2750</v>
      </c>
      <c r="B86">
        <v>8338</v>
      </c>
      <c r="C86">
        <v>4</v>
      </c>
      <c r="D86">
        <v>14</v>
      </c>
      <c r="E86">
        <v>29</v>
      </c>
      <c r="F86">
        <v>0</v>
      </c>
      <c r="G86" s="8" t="str">
        <f t="shared" si="2"/>
        <v>&lt;10k</v>
      </c>
      <c r="H86" t="str">
        <f t="shared" si="3"/>
        <v>20-30</v>
      </c>
    </row>
    <row r="87" spans="1:8" x14ac:dyDescent="0.3">
      <c r="A87">
        <v>95</v>
      </c>
      <c r="B87">
        <v>6683</v>
      </c>
      <c r="C87">
        <v>3</v>
      </c>
      <c r="D87">
        <v>8</v>
      </c>
      <c r="E87">
        <v>38</v>
      </c>
      <c r="F87">
        <v>0</v>
      </c>
      <c r="G87" s="8" t="str">
        <f t="shared" si="2"/>
        <v>&lt;10k</v>
      </c>
      <c r="H87" t="str">
        <f t="shared" si="3"/>
        <v>30-40</v>
      </c>
    </row>
    <row r="88" spans="1:8" x14ac:dyDescent="0.3">
      <c r="A88">
        <v>1348</v>
      </c>
      <c r="B88">
        <v>7212</v>
      </c>
      <c r="C88">
        <v>5</v>
      </c>
      <c r="D88">
        <v>10</v>
      </c>
      <c r="E88">
        <v>30</v>
      </c>
      <c r="F88">
        <v>0</v>
      </c>
      <c r="G88" s="8" t="str">
        <f t="shared" si="2"/>
        <v>&lt;10k</v>
      </c>
      <c r="H88" t="str">
        <f t="shared" si="3"/>
        <v>20-30</v>
      </c>
    </row>
    <row r="89" spans="1:8" x14ac:dyDescent="0.3">
      <c r="A89">
        <v>178</v>
      </c>
      <c r="B89">
        <v>10411</v>
      </c>
      <c r="C89">
        <v>3</v>
      </c>
      <c r="D89">
        <v>10</v>
      </c>
      <c r="E89">
        <v>50</v>
      </c>
      <c r="F89">
        <v>0</v>
      </c>
      <c r="G89" s="8" t="str">
        <f t="shared" si="2"/>
        <v>10k-20k</v>
      </c>
      <c r="H89" t="str">
        <f t="shared" si="3"/>
        <v>40+</v>
      </c>
    </row>
    <row r="90" spans="1:8" x14ac:dyDescent="0.3">
      <c r="A90">
        <v>-695</v>
      </c>
      <c r="B90">
        <v>8850</v>
      </c>
      <c r="C90">
        <v>2</v>
      </c>
      <c r="D90">
        <v>8</v>
      </c>
      <c r="E90">
        <v>33</v>
      </c>
      <c r="F90">
        <v>0</v>
      </c>
      <c r="G90" s="8" t="str">
        <f t="shared" si="2"/>
        <v>&lt;10k</v>
      </c>
      <c r="H90" t="str">
        <f t="shared" si="3"/>
        <v>30-40</v>
      </c>
    </row>
    <row r="91" spans="1:8" x14ac:dyDescent="0.3">
      <c r="A91">
        <v>787</v>
      </c>
      <c r="B91">
        <v>8334</v>
      </c>
      <c r="C91">
        <v>4</v>
      </c>
      <c r="D91">
        <v>9</v>
      </c>
      <c r="E91">
        <v>35</v>
      </c>
      <c r="F91">
        <v>0</v>
      </c>
      <c r="G91" s="8" t="str">
        <f t="shared" si="2"/>
        <v>&lt;10k</v>
      </c>
      <c r="H91" t="str">
        <f t="shared" si="3"/>
        <v>30-40</v>
      </c>
    </row>
    <row r="92" spans="1:8" x14ac:dyDescent="0.3">
      <c r="A92">
        <v>4642</v>
      </c>
      <c r="B92">
        <v>13923</v>
      </c>
      <c r="C92">
        <v>3</v>
      </c>
      <c r="D92">
        <v>16</v>
      </c>
      <c r="E92">
        <v>36</v>
      </c>
      <c r="F92">
        <v>0</v>
      </c>
      <c r="G92" s="8" t="str">
        <f t="shared" si="2"/>
        <v>10k-20k</v>
      </c>
      <c r="H92" t="str">
        <f t="shared" si="3"/>
        <v>30-40</v>
      </c>
    </row>
    <row r="93" spans="1:8" x14ac:dyDescent="0.3">
      <c r="A93">
        <v>1260</v>
      </c>
      <c r="B93">
        <v>6214</v>
      </c>
      <c r="C93">
        <v>4</v>
      </c>
      <c r="D93">
        <v>12</v>
      </c>
      <c r="E93">
        <v>33</v>
      </c>
      <c r="F93">
        <v>0</v>
      </c>
      <c r="G93" s="8" t="str">
        <f t="shared" si="2"/>
        <v>&lt;10k</v>
      </c>
      <c r="H93" t="str">
        <f t="shared" si="3"/>
        <v>30-40</v>
      </c>
    </row>
    <row r="94" spans="1:8" x14ac:dyDescent="0.3">
      <c r="A94">
        <v>2687</v>
      </c>
      <c r="B94">
        <v>12323</v>
      </c>
      <c r="C94">
        <v>6</v>
      </c>
      <c r="D94">
        <v>20</v>
      </c>
      <c r="E94">
        <v>38</v>
      </c>
      <c r="F94">
        <v>0</v>
      </c>
      <c r="G94" s="8" t="str">
        <f t="shared" si="2"/>
        <v>10k-20k</v>
      </c>
      <c r="H94" t="str">
        <f t="shared" si="3"/>
        <v>30-40</v>
      </c>
    </row>
    <row r="95" spans="1:8" x14ac:dyDescent="0.3">
      <c r="A95">
        <v>720</v>
      </c>
      <c r="B95">
        <v>14963</v>
      </c>
      <c r="C95">
        <v>4</v>
      </c>
      <c r="D95">
        <v>12</v>
      </c>
      <c r="E95">
        <v>46</v>
      </c>
      <c r="F95">
        <v>0</v>
      </c>
      <c r="G95" s="8" t="str">
        <f t="shared" si="2"/>
        <v>10k-20k</v>
      </c>
      <c r="H95" t="str">
        <f t="shared" si="3"/>
        <v>40+</v>
      </c>
    </row>
    <row r="96" spans="1:8" x14ac:dyDescent="0.3">
      <c r="A96">
        <v>5109</v>
      </c>
      <c r="B96">
        <v>10060</v>
      </c>
      <c r="C96">
        <v>4</v>
      </c>
      <c r="D96">
        <v>16</v>
      </c>
      <c r="E96">
        <v>50</v>
      </c>
      <c r="F96">
        <v>0</v>
      </c>
      <c r="G96" s="8" t="str">
        <f t="shared" si="2"/>
        <v>10k-20k</v>
      </c>
      <c r="H96" t="str">
        <f t="shared" si="3"/>
        <v>40+</v>
      </c>
    </row>
    <row r="97" spans="1:8" x14ac:dyDescent="0.3">
      <c r="A97">
        <v>1800</v>
      </c>
      <c r="B97">
        <v>32080</v>
      </c>
      <c r="C97">
        <v>2</v>
      </c>
      <c r="D97">
        <v>16</v>
      </c>
      <c r="E97">
        <v>54</v>
      </c>
      <c r="F97">
        <v>0</v>
      </c>
      <c r="G97" s="8" t="str">
        <f t="shared" si="2"/>
        <v>30k+</v>
      </c>
      <c r="H97" t="str">
        <f t="shared" si="3"/>
        <v>40+</v>
      </c>
    </row>
    <row r="98" spans="1:8" x14ac:dyDescent="0.3">
      <c r="A98">
        <v>1684</v>
      </c>
      <c r="B98">
        <v>9260</v>
      </c>
      <c r="C98">
        <v>5</v>
      </c>
      <c r="D98">
        <v>12</v>
      </c>
      <c r="E98">
        <v>31</v>
      </c>
      <c r="F98">
        <v>0</v>
      </c>
      <c r="G98" s="8" t="str">
        <f t="shared" si="2"/>
        <v>&lt;10k</v>
      </c>
      <c r="H98" t="str">
        <f t="shared" si="3"/>
        <v>30-40</v>
      </c>
    </row>
    <row r="99" spans="1:8" x14ac:dyDescent="0.3">
      <c r="A99">
        <v>1475</v>
      </c>
      <c r="B99">
        <v>10450</v>
      </c>
      <c r="C99">
        <v>2</v>
      </c>
      <c r="D99">
        <v>18</v>
      </c>
      <c r="E99">
        <v>27</v>
      </c>
      <c r="F99">
        <v>0</v>
      </c>
      <c r="G99" s="8" t="str">
        <f t="shared" si="2"/>
        <v>10k-20k</v>
      </c>
      <c r="H99" t="str">
        <f t="shared" si="3"/>
        <v>20-30</v>
      </c>
    </row>
    <row r="100" spans="1:8" x14ac:dyDescent="0.3">
      <c r="A100">
        <v>566</v>
      </c>
      <c r="B100">
        <v>9138</v>
      </c>
      <c r="C100">
        <v>5</v>
      </c>
      <c r="D100">
        <v>12</v>
      </c>
      <c r="E100">
        <v>40</v>
      </c>
      <c r="F100">
        <v>0</v>
      </c>
      <c r="G100" s="8" t="str">
        <f t="shared" si="2"/>
        <v>&lt;10k</v>
      </c>
      <c r="H100" t="str">
        <f t="shared" si="3"/>
        <v>30-40</v>
      </c>
    </row>
    <row r="101" spans="1:8" x14ac:dyDescent="0.3">
      <c r="A101">
        <v>25405</v>
      </c>
      <c r="B101">
        <v>12350</v>
      </c>
      <c r="C101">
        <v>6</v>
      </c>
      <c r="D101">
        <v>18</v>
      </c>
      <c r="E101">
        <v>34</v>
      </c>
      <c r="F101">
        <v>0</v>
      </c>
      <c r="G101" s="8" t="str">
        <f t="shared" si="2"/>
        <v>10k-20k</v>
      </c>
      <c r="H101" t="str">
        <f t="shared" si="3"/>
        <v>30-40</v>
      </c>
    </row>
    <row r="102" spans="1:8" x14ac:dyDescent="0.3">
      <c r="A102">
        <v>1000</v>
      </c>
      <c r="B102">
        <v>2000</v>
      </c>
      <c r="C102">
        <v>43</v>
      </c>
      <c r="D102">
        <v>5</v>
      </c>
      <c r="E102">
        <v>3</v>
      </c>
      <c r="F102">
        <v>1</v>
      </c>
    </row>
    <row r="103" spans="1:8" x14ac:dyDescent="0.3">
      <c r="A103">
        <v>1000</v>
      </c>
      <c r="B103">
        <v>3500</v>
      </c>
      <c r="C103">
        <v>5</v>
      </c>
      <c r="D103">
        <v>9</v>
      </c>
      <c r="E103">
        <v>45</v>
      </c>
      <c r="F103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0" r:id="rId4" name="Button 36">
              <controlPr defaultSize="0" print="0" autoFill="0" autoPict="0" macro="[0]!ShowDataEntryForm">
                <anchor moveWithCells="1" sizeWithCells="1">
                  <from>
                    <xdr:col>10</xdr:col>
                    <xdr:colOff>22860</xdr:colOff>
                    <xdr:row>5</xdr:row>
                    <xdr:rowOff>38100</xdr:rowOff>
                  </from>
                  <to>
                    <xdr:col>12</xdr:col>
                    <xdr:colOff>266700</xdr:colOff>
                    <xdr:row>12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04E45-3EDC-40A1-A27A-6B338DFDCD5F}">
  <sheetPr codeName="Sheet2"/>
  <dimension ref="A3:E8"/>
  <sheetViews>
    <sheetView workbookViewId="0">
      <selection activeCell="K8" sqref="K8"/>
    </sheetView>
  </sheetViews>
  <sheetFormatPr defaultRowHeight="14.4" x14ac:dyDescent="0.3"/>
  <cols>
    <col min="1" max="1" width="12.5546875" bestFit="1" customWidth="1"/>
    <col min="2" max="2" width="13.88671875" bestFit="1" customWidth="1"/>
    <col min="5" max="5" width="57" bestFit="1" customWidth="1"/>
  </cols>
  <sheetData>
    <row r="3" spans="1:5" x14ac:dyDescent="0.3">
      <c r="A3" s="2" t="s">
        <v>5</v>
      </c>
      <c r="B3" t="s">
        <v>7</v>
      </c>
      <c r="E3" s="7" t="s">
        <v>31</v>
      </c>
    </row>
    <row r="4" spans="1:5" x14ac:dyDescent="0.3">
      <c r="A4" s="3" t="s">
        <v>9</v>
      </c>
      <c r="B4">
        <v>67430</v>
      </c>
    </row>
    <row r="5" spans="1:5" x14ac:dyDescent="0.3">
      <c r="A5" s="3" t="s">
        <v>10</v>
      </c>
      <c r="B5">
        <v>73828</v>
      </c>
    </row>
    <row r="6" spans="1:5" x14ac:dyDescent="0.3">
      <c r="A6" s="3" t="s">
        <v>11</v>
      </c>
      <c r="B6">
        <v>410</v>
      </c>
    </row>
    <row r="7" spans="1:5" x14ac:dyDescent="0.3">
      <c r="A7" s="3" t="s">
        <v>12</v>
      </c>
      <c r="B7">
        <v>16583</v>
      </c>
    </row>
    <row r="8" spans="1:5" x14ac:dyDescent="0.3">
      <c r="A8" s="3" t="s">
        <v>6</v>
      </c>
      <c r="B8">
        <v>158251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4DF9-D02D-477E-B213-36B546C867E1}">
  <sheetPr codeName="Sheet3"/>
  <dimension ref="A3:E22"/>
  <sheetViews>
    <sheetView workbookViewId="0">
      <selection activeCell="E3" sqref="E3"/>
    </sheetView>
  </sheetViews>
  <sheetFormatPr defaultRowHeight="14.4" x14ac:dyDescent="0.3"/>
  <cols>
    <col min="1" max="1" width="12.5546875" bestFit="1" customWidth="1"/>
    <col min="2" max="2" width="13.88671875" bestFit="1" customWidth="1"/>
    <col min="5" max="5" width="53.44140625" bestFit="1" customWidth="1"/>
  </cols>
  <sheetData>
    <row r="3" spans="1:5" x14ac:dyDescent="0.3">
      <c r="A3" s="2" t="s">
        <v>5</v>
      </c>
      <c r="B3" t="s">
        <v>7</v>
      </c>
      <c r="E3" s="7" t="s">
        <v>30</v>
      </c>
    </row>
    <row r="4" spans="1:5" x14ac:dyDescent="0.3">
      <c r="A4" s="3">
        <v>2</v>
      </c>
      <c r="B4">
        <v>30</v>
      </c>
      <c r="E4" s="5"/>
    </row>
    <row r="5" spans="1:5" x14ac:dyDescent="0.3">
      <c r="A5" s="3">
        <v>3</v>
      </c>
      <c r="B5">
        <v>1274</v>
      </c>
    </row>
    <row r="6" spans="1:5" x14ac:dyDescent="0.3">
      <c r="A6" s="3">
        <v>4</v>
      </c>
      <c r="B6">
        <v>0</v>
      </c>
    </row>
    <row r="7" spans="1:5" x14ac:dyDescent="0.3">
      <c r="A7" s="3">
        <v>6</v>
      </c>
      <c r="B7">
        <v>50</v>
      </c>
    </row>
    <row r="8" spans="1:5" x14ac:dyDescent="0.3">
      <c r="A8" s="3">
        <v>7</v>
      </c>
      <c r="B8">
        <v>5786</v>
      </c>
    </row>
    <row r="9" spans="1:5" x14ac:dyDescent="0.3">
      <c r="A9" s="3">
        <v>8</v>
      </c>
      <c r="B9">
        <v>10226</v>
      </c>
    </row>
    <row r="10" spans="1:5" x14ac:dyDescent="0.3">
      <c r="A10" s="3">
        <v>9</v>
      </c>
      <c r="B10">
        <v>12401</v>
      </c>
    </row>
    <row r="11" spans="1:5" x14ac:dyDescent="0.3">
      <c r="A11" s="3">
        <v>10</v>
      </c>
      <c r="B11">
        <v>9603</v>
      </c>
    </row>
    <row r="12" spans="1:5" x14ac:dyDescent="0.3">
      <c r="A12" s="3">
        <v>11</v>
      </c>
      <c r="B12">
        <v>8250</v>
      </c>
    </row>
    <row r="13" spans="1:5" x14ac:dyDescent="0.3">
      <c r="A13" s="3">
        <v>12</v>
      </c>
      <c r="B13">
        <v>41813</v>
      </c>
    </row>
    <row r="14" spans="1:5" x14ac:dyDescent="0.3">
      <c r="A14" s="3">
        <v>13</v>
      </c>
      <c r="B14">
        <v>1406</v>
      </c>
    </row>
    <row r="15" spans="1:5" x14ac:dyDescent="0.3">
      <c r="A15" s="3">
        <v>14</v>
      </c>
      <c r="B15">
        <v>3869</v>
      </c>
    </row>
    <row r="16" spans="1:5" x14ac:dyDescent="0.3">
      <c r="A16" s="3">
        <v>15</v>
      </c>
      <c r="B16">
        <v>-1150</v>
      </c>
    </row>
    <row r="17" spans="1:2" x14ac:dyDescent="0.3">
      <c r="A17" s="3">
        <v>16</v>
      </c>
      <c r="B17">
        <v>23397</v>
      </c>
    </row>
    <row r="18" spans="1:2" x14ac:dyDescent="0.3">
      <c r="A18" s="3">
        <v>17</v>
      </c>
      <c r="B18">
        <v>11341</v>
      </c>
    </row>
    <row r="19" spans="1:2" x14ac:dyDescent="0.3">
      <c r="A19" s="3">
        <v>18</v>
      </c>
      <c r="B19">
        <v>26880</v>
      </c>
    </row>
    <row r="20" spans="1:2" x14ac:dyDescent="0.3">
      <c r="A20" s="3">
        <v>19</v>
      </c>
      <c r="B20">
        <v>388</v>
      </c>
    </row>
    <row r="21" spans="1:2" x14ac:dyDescent="0.3">
      <c r="A21" s="3">
        <v>20</v>
      </c>
      <c r="B21">
        <v>2687</v>
      </c>
    </row>
    <row r="22" spans="1:2" x14ac:dyDescent="0.3">
      <c r="A22" s="3" t="s">
        <v>6</v>
      </c>
      <c r="B22">
        <v>158251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348B7-C714-4C10-84FF-749BDDCE40DC}">
  <sheetPr codeName="Sheet4"/>
  <dimension ref="A3:E13"/>
  <sheetViews>
    <sheetView workbookViewId="0">
      <selection activeCell="E3" sqref="E3"/>
    </sheetView>
  </sheetViews>
  <sheetFormatPr defaultRowHeight="14.4" x14ac:dyDescent="0.3"/>
  <cols>
    <col min="1" max="1" width="12.5546875" bestFit="1" customWidth="1"/>
    <col min="2" max="2" width="13.88671875" bestFit="1" customWidth="1"/>
    <col min="5" max="5" width="55.33203125" bestFit="1" customWidth="1"/>
  </cols>
  <sheetData>
    <row r="3" spans="1:5" x14ac:dyDescent="0.3">
      <c r="A3" s="2" t="s">
        <v>5</v>
      </c>
      <c r="B3" t="s">
        <v>7</v>
      </c>
      <c r="E3" s="7" t="s">
        <v>29</v>
      </c>
    </row>
    <row r="4" spans="1:5" x14ac:dyDescent="0.3">
      <c r="A4" s="3">
        <v>2</v>
      </c>
      <c r="B4">
        <v>16018</v>
      </c>
    </row>
    <row r="5" spans="1:5" x14ac:dyDescent="0.3">
      <c r="A5" s="3">
        <v>3</v>
      </c>
      <c r="B5">
        <v>21144</v>
      </c>
    </row>
    <row r="6" spans="1:5" x14ac:dyDescent="0.3">
      <c r="A6" s="3">
        <v>4</v>
      </c>
      <c r="B6">
        <v>63276</v>
      </c>
    </row>
    <row r="7" spans="1:5" x14ac:dyDescent="0.3">
      <c r="A7" s="3">
        <v>5</v>
      </c>
      <c r="B7">
        <v>16022</v>
      </c>
    </row>
    <row r="8" spans="1:5" x14ac:dyDescent="0.3">
      <c r="A8" s="3">
        <v>6</v>
      </c>
      <c r="B8">
        <v>36622</v>
      </c>
    </row>
    <row r="9" spans="1:5" x14ac:dyDescent="0.3">
      <c r="A9" s="3">
        <v>7</v>
      </c>
      <c r="B9">
        <v>1243</v>
      </c>
    </row>
    <row r="10" spans="1:5" x14ac:dyDescent="0.3">
      <c r="A10" s="3">
        <v>8</v>
      </c>
      <c r="B10">
        <v>-578</v>
      </c>
    </row>
    <row r="11" spans="1:5" x14ac:dyDescent="0.3">
      <c r="A11" s="3">
        <v>9</v>
      </c>
      <c r="B11">
        <v>3500</v>
      </c>
    </row>
    <row r="12" spans="1:5" x14ac:dyDescent="0.3">
      <c r="A12" s="3">
        <v>10</v>
      </c>
      <c r="B12">
        <v>1004</v>
      </c>
    </row>
    <row r="13" spans="1:5" x14ac:dyDescent="0.3">
      <c r="A13" s="3" t="s">
        <v>6</v>
      </c>
      <c r="B13">
        <v>158251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A2F5E-7983-46C9-A34E-2B70828DD849}">
  <sheetPr codeName="Sheet5"/>
  <dimension ref="A3:E7"/>
  <sheetViews>
    <sheetView workbookViewId="0">
      <selection activeCell="E3" sqref="E3"/>
    </sheetView>
  </sheetViews>
  <sheetFormatPr defaultRowHeight="14.4" x14ac:dyDescent="0.3"/>
  <cols>
    <col min="1" max="1" width="12.5546875" bestFit="1" customWidth="1"/>
    <col min="2" max="2" width="13.88671875" bestFit="1" customWidth="1"/>
    <col min="5" max="5" width="74" bestFit="1" customWidth="1"/>
  </cols>
  <sheetData>
    <row r="3" spans="1:5" x14ac:dyDescent="0.3">
      <c r="A3" s="2" t="s">
        <v>5</v>
      </c>
      <c r="B3" t="s">
        <v>7</v>
      </c>
      <c r="E3" s="6" t="s">
        <v>28</v>
      </c>
    </row>
    <row r="4" spans="1:5" x14ac:dyDescent="0.3">
      <c r="A4" s="3" t="s">
        <v>14</v>
      </c>
      <c r="B4">
        <v>20251</v>
      </c>
      <c r="E4" s="5"/>
    </row>
    <row r="5" spans="1:5" x14ac:dyDescent="0.3">
      <c r="A5" s="3" t="s">
        <v>15</v>
      </c>
      <c r="B5">
        <v>74507</v>
      </c>
    </row>
    <row r="6" spans="1:5" x14ac:dyDescent="0.3">
      <c r="A6" s="3" t="s">
        <v>16</v>
      </c>
      <c r="B6">
        <v>63493</v>
      </c>
    </row>
    <row r="7" spans="1:5" x14ac:dyDescent="0.3">
      <c r="A7" s="3" t="s">
        <v>6</v>
      </c>
      <c r="B7">
        <v>158251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7031B-E1A4-448C-99CA-33627AFB50EE}">
  <sheetPr codeName="Sheet6"/>
  <dimension ref="A3:F6"/>
  <sheetViews>
    <sheetView workbookViewId="0">
      <selection activeCell="D15" sqref="D15"/>
    </sheetView>
  </sheetViews>
  <sheetFormatPr defaultRowHeight="14.4" x14ac:dyDescent="0.3"/>
  <cols>
    <col min="1" max="1" width="12.5546875" bestFit="1" customWidth="1"/>
    <col min="2" max="2" width="13.88671875" bestFit="1" customWidth="1"/>
    <col min="3" max="3" width="18.109375" bestFit="1" customWidth="1"/>
    <col min="6" max="6" width="70.109375" bestFit="1" customWidth="1"/>
  </cols>
  <sheetData>
    <row r="3" spans="1:6" x14ac:dyDescent="0.3">
      <c r="A3" s="2" t="s">
        <v>5</v>
      </c>
      <c r="B3" t="s">
        <v>7</v>
      </c>
      <c r="C3" t="s">
        <v>18</v>
      </c>
      <c r="F3" s="4" t="s">
        <v>27</v>
      </c>
    </row>
    <row r="4" spans="1:6" x14ac:dyDescent="0.3">
      <c r="A4" s="3">
        <v>0</v>
      </c>
      <c r="B4">
        <v>149463</v>
      </c>
      <c r="C4">
        <v>1607.1290322580646</v>
      </c>
      <c r="F4" s="5"/>
    </row>
    <row r="5" spans="1:6" x14ac:dyDescent="0.3">
      <c r="A5" s="3">
        <v>1</v>
      </c>
      <c r="B5">
        <v>8788</v>
      </c>
      <c r="C5">
        <v>1255.4285714285713</v>
      </c>
    </row>
    <row r="6" spans="1:6" x14ac:dyDescent="0.3">
      <c r="A6" s="3" t="s">
        <v>6</v>
      </c>
      <c r="B6">
        <v>158251</v>
      </c>
      <c r="C6">
        <v>1582.51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5C4FC-A778-4E02-85AD-DFD79F06D416}">
  <sheetPr codeName="Sheet7"/>
  <dimension ref="A3:F22"/>
  <sheetViews>
    <sheetView workbookViewId="0">
      <selection activeCell="F3" sqref="F3"/>
    </sheetView>
  </sheetViews>
  <sheetFormatPr defaultRowHeight="14.4" x14ac:dyDescent="0.3"/>
  <cols>
    <col min="1" max="1" width="12.5546875" bestFit="1" customWidth="1"/>
    <col min="2" max="2" width="13.88671875" bestFit="1" customWidth="1"/>
    <col min="6" max="6" width="71.88671875" bestFit="1" customWidth="1"/>
  </cols>
  <sheetData>
    <row r="3" spans="1:6" x14ac:dyDescent="0.3">
      <c r="A3" s="2" t="s">
        <v>5</v>
      </c>
      <c r="B3" t="s">
        <v>19</v>
      </c>
      <c r="F3" s="4" t="s">
        <v>26</v>
      </c>
    </row>
    <row r="4" spans="1:6" x14ac:dyDescent="0.3">
      <c r="A4" s="3">
        <v>2</v>
      </c>
      <c r="B4">
        <v>1920</v>
      </c>
    </row>
    <row r="5" spans="1:6" x14ac:dyDescent="0.3">
      <c r="A5" s="3">
        <v>3</v>
      </c>
      <c r="B5">
        <v>10425</v>
      </c>
    </row>
    <row r="6" spans="1:6" x14ac:dyDescent="0.3">
      <c r="A6" s="3">
        <v>4</v>
      </c>
      <c r="B6">
        <v>750</v>
      </c>
    </row>
    <row r="7" spans="1:6" x14ac:dyDescent="0.3">
      <c r="A7" s="3">
        <v>6</v>
      </c>
      <c r="B7">
        <v>2340</v>
      </c>
    </row>
    <row r="8" spans="1:6" x14ac:dyDescent="0.3">
      <c r="A8" s="3">
        <v>7</v>
      </c>
      <c r="B8">
        <v>32216</v>
      </c>
    </row>
    <row r="9" spans="1:6" x14ac:dyDescent="0.3">
      <c r="A9" s="3">
        <v>8</v>
      </c>
      <c r="B9">
        <v>78252</v>
      </c>
    </row>
    <row r="10" spans="1:6" x14ac:dyDescent="0.3">
      <c r="A10" s="3">
        <v>9</v>
      </c>
      <c r="B10">
        <v>93559</v>
      </c>
    </row>
    <row r="11" spans="1:6" x14ac:dyDescent="0.3">
      <c r="A11" s="3">
        <v>10</v>
      </c>
      <c r="B11">
        <v>69290</v>
      </c>
    </row>
    <row r="12" spans="1:6" x14ac:dyDescent="0.3">
      <c r="A12" s="3">
        <v>11</v>
      </c>
      <c r="B12">
        <v>43281</v>
      </c>
    </row>
    <row r="13" spans="1:6" x14ac:dyDescent="0.3">
      <c r="A13" s="3">
        <v>12</v>
      </c>
      <c r="B13">
        <v>299773</v>
      </c>
    </row>
    <row r="14" spans="1:6" x14ac:dyDescent="0.3">
      <c r="A14" s="3">
        <v>13</v>
      </c>
      <c r="B14">
        <v>23278</v>
      </c>
    </row>
    <row r="15" spans="1:6" x14ac:dyDescent="0.3">
      <c r="A15" s="3">
        <v>14</v>
      </c>
      <c r="B15">
        <v>34048</v>
      </c>
    </row>
    <row r="16" spans="1:6" x14ac:dyDescent="0.3">
      <c r="A16" s="3">
        <v>15</v>
      </c>
      <c r="B16">
        <v>14660</v>
      </c>
    </row>
    <row r="17" spans="1:2" x14ac:dyDescent="0.3">
      <c r="A17" s="3">
        <v>16</v>
      </c>
      <c r="B17">
        <v>150764</v>
      </c>
    </row>
    <row r="18" spans="1:2" x14ac:dyDescent="0.3">
      <c r="A18" s="3">
        <v>17</v>
      </c>
      <c r="B18">
        <v>92604</v>
      </c>
    </row>
    <row r="19" spans="1:2" x14ac:dyDescent="0.3">
      <c r="A19" s="3">
        <v>18</v>
      </c>
      <c r="B19">
        <v>22800</v>
      </c>
    </row>
    <row r="20" spans="1:2" x14ac:dyDescent="0.3">
      <c r="A20" s="3">
        <v>19</v>
      </c>
      <c r="B20">
        <v>11841</v>
      </c>
    </row>
    <row r="21" spans="1:2" x14ac:dyDescent="0.3">
      <c r="A21" s="3">
        <v>20</v>
      </c>
      <c r="B21">
        <v>12323</v>
      </c>
    </row>
    <row r="22" spans="1:2" x14ac:dyDescent="0.3">
      <c r="A22" s="3" t="s">
        <v>6</v>
      </c>
      <c r="B22">
        <v>994124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106FF-2CE7-4DDF-84DA-3A784F1801BA}">
  <sheetPr codeName="Sheet8"/>
  <dimension ref="A3:E13"/>
  <sheetViews>
    <sheetView workbookViewId="0">
      <selection activeCell="E4" sqref="E4"/>
    </sheetView>
  </sheetViews>
  <sheetFormatPr defaultRowHeight="14.4" x14ac:dyDescent="0.3"/>
  <cols>
    <col min="1" max="1" width="12.5546875" bestFit="1" customWidth="1"/>
    <col min="2" max="2" width="13.88671875" bestFit="1" customWidth="1"/>
    <col min="5" max="5" width="72.33203125" bestFit="1" customWidth="1"/>
  </cols>
  <sheetData>
    <row r="3" spans="1:5" x14ac:dyDescent="0.3">
      <c r="A3" s="2" t="s">
        <v>5</v>
      </c>
      <c r="B3" t="s">
        <v>7</v>
      </c>
      <c r="E3" s="4" t="s">
        <v>25</v>
      </c>
    </row>
    <row r="4" spans="1:5" x14ac:dyDescent="0.3">
      <c r="A4" s="3">
        <v>2</v>
      </c>
      <c r="B4">
        <v>16018</v>
      </c>
    </row>
    <row r="5" spans="1:5" x14ac:dyDescent="0.3">
      <c r="A5" s="3">
        <v>3</v>
      </c>
      <c r="B5">
        <v>21144</v>
      </c>
    </row>
    <row r="6" spans="1:5" x14ac:dyDescent="0.3">
      <c r="A6" s="3">
        <v>4</v>
      </c>
      <c r="B6">
        <v>63276</v>
      </c>
    </row>
    <row r="7" spans="1:5" x14ac:dyDescent="0.3">
      <c r="A7" s="3">
        <v>5</v>
      </c>
      <c r="B7">
        <v>16022</v>
      </c>
    </row>
    <row r="8" spans="1:5" x14ac:dyDescent="0.3">
      <c r="A8" s="3">
        <v>6</v>
      </c>
      <c r="B8">
        <v>36622</v>
      </c>
    </row>
    <row r="9" spans="1:5" x14ac:dyDescent="0.3">
      <c r="A9" s="3">
        <v>7</v>
      </c>
      <c r="B9">
        <v>1243</v>
      </c>
    </row>
    <row r="10" spans="1:5" x14ac:dyDescent="0.3">
      <c r="A10" s="3">
        <v>8</v>
      </c>
      <c r="B10">
        <v>-578</v>
      </c>
    </row>
    <row r="11" spans="1:5" x14ac:dyDescent="0.3">
      <c r="A11" s="3">
        <v>9</v>
      </c>
      <c r="B11">
        <v>3500</v>
      </c>
    </row>
    <row r="12" spans="1:5" x14ac:dyDescent="0.3">
      <c r="A12" s="3">
        <v>10</v>
      </c>
      <c r="B12">
        <v>1004</v>
      </c>
    </row>
    <row r="13" spans="1:5" x14ac:dyDescent="0.3">
      <c r="A13" s="3" t="s">
        <v>6</v>
      </c>
      <c r="B13">
        <v>158251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47507-C3A7-401A-B88E-93F11A2ADD28}">
  <sheetPr codeName="Sheet9"/>
  <dimension ref="A3:T10"/>
  <sheetViews>
    <sheetView zoomScale="82" workbookViewId="0">
      <selection activeCell="B11" sqref="B11"/>
    </sheetView>
  </sheetViews>
  <sheetFormatPr defaultRowHeight="14.4" x14ac:dyDescent="0.3"/>
  <cols>
    <col min="1" max="1" width="17" bestFit="1" customWidth="1"/>
    <col min="2" max="2" width="15.5546875" bestFit="1" customWidth="1"/>
    <col min="3" max="3" width="5" bestFit="1" customWidth="1"/>
    <col min="4" max="4" width="2" bestFit="1" customWidth="1"/>
    <col min="5" max="5" width="3" bestFit="1" customWidth="1"/>
    <col min="6" max="7" width="7" bestFit="1" customWidth="1"/>
    <col min="8" max="10" width="12" bestFit="1" customWidth="1"/>
    <col min="11" max="11" width="11" bestFit="1" customWidth="1"/>
    <col min="12" max="12" width="4" bestFit="1" customWidth="1"/>
    <col min="13" max="13" width="7" bestFit="1" customWidth="1"/>
    <col min="14" max="14" width="5.6640625" bestFit="1" customWidth="1"/>
    <col min="15" max="16" width="12" bestFit="1" customWidth="1"/>
    <col min="17" max="17" width="6" bestFit="1" customWidth="1"/>
    <col min="18" max="18" width="4" bestFit="1" customWidth="1"/>
    <col min="19" max="19" width="5" bestFit="1" customWidth="1"/>
    <col min="20" max="20" width="12" bestFit="1" customWidth="1"/>
  </cols>
  <sheetData>
    <row r="3" spans="1:20" x14ac:dyDescent="0.3">
      <c r="A3" s="2" t="s">
        <v>21</v>
      </c>
      <c r="B3" s="2" t="s">
        <v>20</v>
      </c>
    </row>
    <row r="4" spans="1:20" x14ac:dyDescent="0.3">
      <c r="A4" s="2" t="s">
        <v>5</v>
      </c>
      <c r="B4">
        <v>2</v>
      </c>
      <c r="C4">
        <v>3</v>
      </c>
      <c r="D4">
        <v>4</v>
      </c>
      <c r="E4">
        <v>6</v>
      </c>
      <c r="F4">
        <v>7</v>
      </c>
      <c r="G4">
        <v>8</v>
      </c>
      <c r="H4">
        <v>9</v>
      </c>
      <c r="I4">
        <v>10</v>
      </c>
      <c r="J4">
        <v>11</v>
      </c>
      <c r="K4">
        <v>12</v>
      </c>
      <c r="L4">
        <v>13</v>
      </c>
      <c r="M4">
        <v>14</v>
      </c>
      <c r="N4">
        <v>15</v>
      </c>
      <c r="O4">
        <v>16</v>
      </c>
      <c r="P4">
        <v>17</v>
      </c>
      <c r="Q4">
        <v>18</v>
      </c>
      <c r="R4">
        <v>19</v>
      </c>
      <c r="S4">
        <v>20</v>
      </c>
      <c r="T4" t="s">
        <v>6</v>
      </c>
    </row>
    <row r="5" spans="1:20" x14ac:dyDescent="0.3">
      <c r="A5" s="3">
        <v>0</v>
      </c>
      <c r="C5">
        <v>1274</v>
      </c>
      <c r="D5">
        <v>0</v>
      </c>
      <c r="F5">
        <v>1446.5</v>
      </c>
      <c r="G5">
        <v>1022.6</v>
      </c>
      <c r="H5">
        <v>841.7</v>
      </c>
      <c r="I5">
        <v>812.28571428571433</v>
      </c>
      <c r="J5">
        <v>2849.3333333333335</v>
      </c>
      <c r="K5">
        <v>1313.1612903225807</v>
      </c>
      <c r="L5">
        <v>703</v>
      </c>
      <c r="M5">
        <v>967.25</v>
      </c>
      <c r="N5">
        <v>-1150</v>
      </c>
      <c r="O5">
        <v>2599.6666666666665</v>
      </c>
      <c r="P5">
        <v>1890.1666666666667</v>
      </c>
      <c r="Q5">
        <v>13440</v>
      </c>
      <c r="R5">
        <v>388</v>
      </c>
      <c r="S5">
        <v>2687</v>
      </c>
      <c r="T5">
        <v>1607.1290322580646</v>
      </c>
    </row>
    <row r="6" spans="1:20" x14ac:dyDescent="0.3">
      <c r="A6" s="3">
        <v>1</v>
      </c>
      <c r="B6">
        <v>30</v>
      </c>
      <c r="E6">
        <v>50</v>
      </c>
      <c r="H6">
        <v>3984</v>
      </c>
      <c r="I6">
        <v>1958.5</v>
      </c>
      <c r="J6">
        <v>-298</v>
      </c>
      <c r="K6">
        <v>1105</v>
      </c>
      <c r="T6">
        <v>1255.4285714285713</v>
      </c>
    </row>
    <row r="7" spans="1:20" x14ac:dyDescent="0.3">
      <c r="A7" s="3" t="s">
        <v>6</v>
      </c>
      <c r="B7">
        <v>30</v>
      </c>
      <c r="C7">
        <v>1274</v>
      </c>
      <c r="D7">
        <v>0</v>
      </c>
      <c r="E7">
        <v>50</v>
      </c>
      <c r="F7">
        <v>1446.5</v>
      </c>
      <c r="G7">
        <v>1022.6</v>
      </c>
      <c r="H7">
        <v>1127.3636363636363</v>
      </c>
      <c r="I7">
        <v>1067</v>
      </c>
      <c r="J7">
        <v>2062.5</v>
      </c>
      <c r="K7">
        <v>1306.65625</v>
      </c>
      <c r="L7">
        <v>703</v>
      </c>
      <c r="M7">
        <v>967.25</v>
      </c>
      <c r="N7">
        <v>-1150</v>
      </c>
      <c r="O7">
        <v>2599.6666666666665</v>
      </c>
      <c r="P7">
        <v>1890.1666666666667</v>
      </c>
      <c r="Q7">
        <v>13440</v>
      </c>
      <c r="R7">
        <v>388</v>
      </c>
      <c r="S7">
        <v>2687</v>
      </c>
      <c r="T7">
        <v>1582.51</v>
      </c>
    </row>
    <row r="10" spans="1:20" x14ac:dyDescent="0.3">
      <c r="B10" s="4" t="s">
        <v>24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E37D5-F187-4333-A81D-EF6A343A9877}">
  <sheetPr codeName="Sheet10"/>
  <dimension ref="A3:E8"/>
  <sheetViews>
    <sheetView workbookViewId="0">
      <selection activeCell="E4" sqref="E4"/>
    </sheetView>
  </sheetViews>
  <sheetFormatPr defaultRowHeight="14.4" x14ac:dyDescent="0.3"/>
  <cols>
    <col min="1" max="1" width="12.5546875" bestFit="1" customWidth="1"/>
    <col min="2" max="2" width="13.88671875" bestFit="1" customWidth="1"/>
    <col min="5" max="5" width="61.5546875" bestFit="1" customWidth="1"/>
  </cols>
  <sheetData>
    <row r="3" spans="1:5" x14ac:dyDescent="0.3">
      <c r="A3" s="2" t="s">
        <v>5</v>
      </c>
      <c r="B3" t="s">
        <v>7</v>
      </c>
      <c r="E3" s="4" t="s">
        <v>23</v>
      </c>
    </row>
    <row r="4" spans="1:5" x14ac:dyDescent="0.3">
      <c r="A4" s="3" t="s">
        <v>11</v>
      </c>
      <c r="B4">
        <v>410</v>
      </c>
    </row>
    <row r="5" spans="1:5" x14ac:dyDescent="0.3">
      <c r="A5" s="3" t="s">
        <v>12</v>
      </c>
      <c r="B5">
        <v>16583</v>
      </c>
    </row>
    <row r="6" spans="1:5" x14ac:dyDescent="0.3">
      <c r="A6" s="3" t="s">
        <v>9</v>
      </c>
      <c r="B6">
        <v>67430</v>
      </c>
    </row>
    <row r="7" spans="1:5" x14ac:dyDescent="0.3">
      <c r="A7" s="3" t="s">
        <v>10</v>
      </c>
      <c r="B7">
        <v>73828</v>
      </c>
    </row>
    <row r="8" spans="1:5" x14ac:dyDescent="0.3">
      <c r="A8" s="3" t="s">
        <v>6</v>
      </c>
      <c r="B8">
        <v>158251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C22E6-9175-4FB4-933B-BE670625BACF}">
  <sheetPr codeName="Sheet11"/>
  <dimension ref="A3:F8"/>
  <sheetViews>
    <sheetView workbookViewId="0">
      <selection activeCell="F4" sqref="F4"/>
    </sheetView>
  </sheetViews>
  <sheetFormatPr defaultRowHeight="14.4" x14ac:dyDescent="0.3"/>
  <cols>
    <col min="1" max="1" width="17" bestFit="1" customWidth="1"/>
    <col min="2" max="2" width="15.5546875" bestFit="1" customWidth="1"/>
    <col min="3" max="4" width="12" bestFit="1" customWidth="1"/>
  </cols>
  <sheetData>
    <row r="3" spans="1:6" x14ac:dyDescent="0.3">
      <c r="A3" s="2" t="s">
        <v>21</v>
      </c>
      <c r="B3" s="2" t="s">
        <v>20</v>
      </c>
      <c r="F3" s="4" t="s">
        <v>22</v>
      </c>
    </row>
    <row r="4" spans="1:6" x14ac:dyDescent="0.3">
      <c r="A4" s="2" t="s">
        <v>5</v>
      </c>
      <c r="B4">
        <v>0</v>
      </c>
      <c r="C4">
        <v>1</v>
      </c>
      <c r="D4" t="s">
        <v>6</v>
      </c>
    </row>
    <row r="5" spans="1:6" x14ac:dyDescent="0.3">
      <c r="A5" s="3" t="s">
        <v>14</v>
      </c>
      <c r="B5">
        <v>1472.7692307692307</v>
      </c>
      <c r="C5">
        <v>1105</v>
      </c>
      <c r="D5">
        <v>1446.5</v>
      </c>
    </row>
    <row r="6" spans="1:6" x14ac:dyDescent="0.3">
      <c r="A6" s="3" t="s">
        <v>15</v>
      </c>
      <c r="B6">
        <v>1647.8604651162791</v>
      </c>
      <c r="C6">
        <v>912.25</v>
      </c>
      <c r="D6">
        <v>1585.2553191489362</v>
      </c>
    </row>
    <row r="7" spans="1:6" x14ac:dyDescent="0.3">
      <c r="A7" s="3" t="s">
        <v>16</v>
      </c>
      <c r="B7">
        <v>1607</v>
      </c>
      <c r="C7">
        <v>2017</v>
      </c>
      <c r="D7">
        <v>1628.0256410256411</v>
      </c>
    </row>
    <row r="8" spans="1:6" x14ac:dyDescent="0.3">
      <c r="A8" s="3" t="s">
        <v>6</v>
      </c>
      <c r="B8">
        <v>1607.1290322580646</v>
      </c>
      <c r="C8">
        <v>1255.4285714285713</v>
      </c>
      <c r="D8">
        <v>1582.51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Savings Data</vt:lpstr>
      <vt:lpstr>Ques 1</vt:lpstr>
      <vt:lpstr>Ques 2</vt:lpstr>
      <vt:lpstr>Ques 3</vt:lpstr>
      <vt:lpstr>Ques 4</vt:lpstr>
      <vt:lpstr>Ques 5</vt:lpstr>
      <vt:lpstr>Ques 6</vt:lpstr>
      <vt:lpstr>Ques 7</vt:lpstr>
      <vt:lpstr>Ques 8</vt:lpstr>
      <vt:lpstr>Ques 9</vt:lpstr>
      <vt:lpstr>Ques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2024-11-30T16:15:49Z</dcterms:created>
  <dcterms:modified xsi:type="dcterms:W3CDTF">2024-12-03T11:43:51Z</dcterms:modified>
</cp:coreProperties>
</file>